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drawings/drawing6.xml" ContentType="application/vnd.openxmlformats-officedocument.drawing+xml"/>
  <Override PartName="/xl/charts/chart3.xml" ContentType="application/vnd.openxmlformats-officedocument.drawingml.chart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drawings/drawing11.xml" ContentType="application/vnd.openxmlformats-officedocument.drawing+xml"/>
  <Override PartName="/xl/charts/chart8.xml" ContentType="application/vnd.openxmlformats-officedocument.drawingml.chart+xml"/>
  <Override PartName="/xl/drawings/drawing12.xml" ContentType="application/vnd.openxmlformats-officedocument.drawing+xml"/>
  <Override PartName="/xl/charts/chart9.xml" ContentType="application/vnd.openxmlformats-officedocument.drawingml.chart+xml"/>
  <Override PartName="/xl/drawings/drawing13.xml" ContentType="application/vnd.openxmlformats-officedocument.drawing+xml"/>
  <Override PartName="/xl/charts/chart10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E:\4.1A IT\"/>
    </mc:Choice>
  </mc:AlternateContent>
  <xr:revisionPtr revIDLastSave="0" documentId="8_{2FA50153-9AA2-4D5B-A499-6206A500CA56}" xr6:coauthVersionLast="47" xr6:coauthVersionMax="47" xr10:uidLastSave="{00000000-0000-0000-0000-000000000000}"/>
  <bookViews>
    <workbookView xWindow="-120" yWindow="-120" windowWidth="29040" windowHeight="15840" tabRatio="829" firstSheet="38" activeTab="46" xr2:uid="{00000000-000D-0000-FFFF-FFFF00000000}"/>
  </bookViews>
  <sheets>
    <sheet name="Basic Calculations" sheetId="2" r:id="rId1"/>
    <sheet name="Basic Absolute References" sheetId="3" r:id="rId2"/>
    <sheet name="Data Filtering and Sorting" sheetId="4" r:id="rId3"/>
    <sheet name="Charts 1" sheetId="5" r:id="rId4"/>
    <sheet name="Charts 2" sheetId="6" r:id="rId5"/>
    <sheet name="If Statement" sheetId="7" r:id="rId6"/>
    <sheet name="Round" sheetId="9" r:id="rId7"/>
    <sheet name="RoundUp" sheetId="10" r:id="rId8"/>
    <sheet name="RoundDown" sheetId="11" r:id="rId9"/>
    <sheet name="SumIf" sheetId="12" r:id="rId10"/>
    <sheet name="Count" sheetId="13" r:id="rId11"/>
    <sheet name="CountA" sheetId="14" r:id="rId12"/>
    <sheet name="CountBlank" sheetId="15" r:id="rId13"/>
    <sheet name="CountIf" sheetId="16" r:id="rId14"/>
    <sheet name="Left" sheetId="17" r:id="rId15"/>
    <sheet name="Right" sheetId="18" r:id="rId16"/>
    <sheet name="Mid" sheetId="19" r:id="rId17"/>
    <sheet name="Trim" sheetId="20" r:id="rId18"/>
    <sheet name="Concatenate" sheetId="21" r:id="rId19"/>
    <sheet name="VLookup" sheetId="22" r:id="rId20"/>
    <sheet name="VLookup COMPLETE" sheetId="23" state="hidden" r:id="rId21"/>
    <sheet name="VLookup2" sheetId="24" r:id="rId22"/>
    <sheet name="VLookup2 COMPLETE" sheetId="25" state="hidden" r:id="rId23"/>
    <sheet name="HLookup" sheetId="48" r:id="rId24"/>
    <sheet name="Today" sheetId="28" r:id="rId25"/>
    <sheet name="Now" sheetId="29" r:id="rId26"/>
    <sheet name="Day" sheetId="30" r:id="rId27"/>
    <sheet name="Month" sheetId="31" r:id="rId28"/>
    <sheet name="Year" sheetId="32" r:id="rId29"/>
    <sheet name="Absolute References" sheetId="26" r:id="rId30"/>
    <sheet name="Nested Function" sheetId="49" r:id="rId31"/>
    <sheet name="Mockaroo" sheetId="50" r:id="rId32"/>
    <sheet name="Combined Charts" sheetId="52" r:id="rId33"/>
    <sheet name="Secondary Axis" sheetId="53" r:id="rId34"/>
    <sheet name="Changing Chart Types" sheetId="54" r:id="rId35"/>
    <sheet name="Moving Chart Titles" sheetId="57" r:id="rId36"/>
    <sheet name="Moving Chart Legends" sheetId="58" r:id="rId37"/>
    <sheet name="Moving Data Labels" sheetId="59" r:id="rId38"/>
    <sheet name="Chart Axis Scale" sheetId="60" r:id="rId39"/>
    <sheet name="Chart Axis Units" sheetId="61" r:id="rId40"/>
    <sheet name="Images In Column Chart" sheetId="62" r:id="rId41"/>
    <sheet name="Images in Bar Chart" sheetId="63" r:id="rId42"/>
    <sheet name="Chart Plot Area Images" sheetId="64" r:id="rId43"/>
    <sheet name="Chart Area Images" sheetId="65" r:id="rId44"/>
    <sheet name="Data Validation" sheetId="71" r:id="rId45"/>
    <sheet name="Sheet1" sheetId="72" r:id="rId46"/>
    <sheet name="Sheet2" sheetId="73" r:id="rId47"/>
    <sheet name="Pivot Table Data" sheetId="68" r:id="rId48"/>
    <sheet name="Pivot Data 1 " sheetId="69" r:id="rId49"/>
    <sheet name="Pivot Table 1" sheetId="70" r:id="rId50"/>
  </sheets>
  <externalReferences>
    <externalReference r:id="rId51"/>
    <externalReference r:id="rId52"/>
  </externalReferences>
  <definedNames>
    <definedName name="_xlnm._FilterDatabase" localSheetId="2" hidden="1">'Data Filtering and Sorting'!$A$4:$H$109</definedName>
    <definedName name="CustItems">[1]!Customers[CUSTOMERS]</definedName>
    <definedName name="ProdItems">[1]!Products[PRODUCTS]</definedName>
    <definedName name="ProjectStartDate">[2]Sheet1!$O$3</definedName>
  </definedNames>
  <calcPr calcId="191028"/>
  <pivotCaches>
    <pivotCache cacheId="0" r:id="rId53"/>
    <pivotCache cacheId="10" r:id="rId5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69" l="1"/>
  <c r="E5" i="69"/>
  <c r="E6" i="69"/>
  <c r="E7" i="69"/>
  <c r="E8" i="69"/>
  <c r="E9" i="69"/>
  <c r="E10" i="69"/>
  <c r="E11" i="69"/>
  <c r="E12" i="69"/>
  <c r="E13" i="69"/>
  <c r="E14" i="69"/>
  <c r="E15" i="69"/>
  <c r="E16" i="69"/>
  <c r="E17" i="69"/>
  <c r="E4" i="68"/>
  <c r="E5" i="68"/>
  <c r="E6" i="68"/>
  <c r="E7" i="68"/>
  <c r="E8" i="68"/>
  <c r="E9" i="68"/>
  <c r="E10" i="68"/>
  <c r="E11" i="68"/>
  <c r="E12" i="68"/>
  <c r="E13" i="68"/>
  <c r="E14" i="68"/>
  <c r="E15" i="68"/>
  <c r="E16" i="68"/>
  <c r="E17" i="68"/>
  <c r="F11" i="53" l="1"/>
  <c r="F10" i="53"/>
  <c r="F9" i="53"/>
  <c r="F8" i="53"/>
  <c r="F7" i="53"/>
  <c r="F6" i="53"/>
  <c r="F5" i="53"/>
  <c r="F4" i="53"/>
  <c r="F3" i="53"/>
  <c r="C3" i="32" l="1"/>
  <c r="C3" i="31"/>
  <c r="C3" i="30"/>
  <c r="K2" i="25" l="1"/>
  <c r="K3" i="25"/>
  <c r="K4" i="25"/>
  <c r="K5" i="25"/>
  <c r="K6" i="25"/>
  <c r="K7" i="25"/>
  <c r="K8" i="25"/>
  <c r="K9" i="25"/>
  <c r="K10" i="25"/>
  <c r="K11" i="25"/>
  <c r="K12" i="25"/>
  <c r="K13" i="25"/>
  <c r="B3" i="23"/>
  <c r="C3" i="23" s="1"/>
  <c r="D5" i="12"/>
  <c r="D6" i="12"/>
  <c r="D7" i="12"/>
  <c r="D9" i="12"/>
  <c r="D10" i="12"/>
  <c r="C4" i="11"/>
  <c r="C4" i="10"/>
  <c r="C4" i="9"/>
</calcChain>
</file>

<file path=xl/sharedStrings.xml><?xml version="1.0" encoding="utf-8"?>
<sst xmlns="http://schemas.openxmlformats.org/spreadsheetml/2006/main" count="1208" uniqueCount="408">
  <si>
    <t>Using Excel</t>
  </si>
  <si>
    <t>Some basic Features</t>
  </si>
  <si>
    <t>Item</t>
  </si>
  <si>
    <t>January</t>
  </si>
  <si>
    <t>February</t>
  </si>
  <si>
    <t>March</t>
  </si>
  <si>
    <t>Total</t>
  </si>
  <si>
    <t>Formatting</t>
  </si>
  <si>
    <t>Training</t>
  </si>
  <si>
    <t>Data types and format</t>
  </si>
  <si>
    <t>Office Supplies</t>
  </si>
  <si>
    <t>Basic Functions</t>
  </si>
  <si>
    <t>Computer Expenses</t>
  </si>
  <si>
    <t>Conditional Formatting</t>
  </si>
  <si>
    <t xml:space="preserve">Copying                       </t>
  </si>
  <si>
    <t>The Autofill feature</t>
  </si>
  <si>
    <t xml:space="preserve">Printing                      </t>
  </si>
  <si>
    <t>Travel</t>
  </si>
  <si>
    <t>Service Contracts</t>
  </si>
  <si>
    <t>Telephone</t>
  </si>
  <si>
    <t xml:space="preserve">Miscellaneous Expense         </t>
  </si>
  <si>
    <t>TOTALS</t>
  </si>
  <si>
    <t>Maximum</t>
  </si>
  <si>
    <t>Minimum</t>
  </si>
  <si>
    <t>Average</t>
  </si>
  <si>
    <t>Count</t>
  </si>
  <si>
    <t>Gross Pay</t>
  </si>
  <si>
    <t>Deduction 1</t>
  </si>
  <si>
    <t>Deduction 2</t>
  </si>
  <si>
    <t>Total Deductions</t>
  </si>
  <si>
    <t>Net Pay</t>
  </si>
  <si>
    <t>Calculate the Total Decuctions</t>
  </si>
  <si>
    <t>Suix Chin</t>
  </si>
  <si>
    <t>Calculate the Net Pay</t>
  </si>
  <si>
    <t>Isaac Viet</t>
  </si>
  <si>
    <t>Use AutoFill for the rest of the calculations</t>
  </si>
  <si>
    <t>Dennis Ho</t>
  </si>
  <si>
    <t>Hien Luong Pham</t>
  </si>
  <si>
    <t>Bill Jelen</t>
  </si>
  <si>
    <t>Absolute vs. Relative References</t>
  </si>
  <si>
    <t>Budget</t>
  </si>
  <si>
    <t>Decrease</t>
  </si>
  <si>
    <t>Difference</t>
  </si>
  <si>
    <t>New Budget</t>
  </si>
  <si>
    <t>Advertising</t>
  </si>
  <si>
    <t>New Tech</t>
  </si>
  <si>
    <t>Data Filtering and Sorting</t>
  </si>
  <si>
    <t>Date</t>
  </si>
  <si>
    <t>Product</t>
  </si>
  <si>
    <t>Region</t>
  </si>
  <si>
    <t>SalesRep</t>
  </si>
  <si>
    <t>Customer</t>
  </si>
  <si>
    <t>Units</t>
  </si>
  <si>
    <t>Sales</t>
  </si>
  <si>
    <t>COGS</t>
  </si>
  <si>
    <t>1) Filter to show Bellen Boomerangs sold on 1/9/11, then copy And paste into a range to the right of the data set.</t>
  </si>
  <si>
    <t>Quad</t>
  </si>
  <si>
    <t>East</t>
  </si>
  <si>
    <t>Sioux</t>
  </si>
  <si>
    <t>AA</t>
  </si>
  <si>
    <t>Bellen</t>
  </si>
  <si>
    <t>South</t>
  </si>
  <si>
    <t>Gault</t>
  </si>
  <si>
    <t>KBTB</t>
  </si>
  <si>
    <t>West</t>
  </si>
  <si>
    <t>Pham</t>
  </si>
  <si>
    <t>AST</t>
  </si>
  <si>
    <t>SFWK</t>
  </si>
  <si>
    <t>Sunshine</t>
  </si>
  <si>
    <t>FM</t>
  </si>
  <si>
    <t>Carlota</t>
  </si>
  <si>
    <t>MidWest</t>
  </si>
  <si>
    <t>Chin</t>
  </si>
  <si>
    <t>Sunset</t>
  </si>
  <si>
    <t>WSD</t>
  </si>
  <si>
    <t>PCC</t>
  </si>
  <si>
    <t>BBT</t>
  </si>
  <si>
    <t>TTT</t>
  </si>
  <si>
    <t>Franks</t>
  </si>
  <si>
    <t>ET</t>
  </si>
  <si>
    <t>ITTW</t>
  </si>
  <si>
    <t>PSA</t>
  </si>
  <si>
    <t>Smith</t>
  </si>
  <si>
    <t>QT</t>
  </si>
  <si>
    <t>KPSA</t>
  </si>
  <si>
    <t>HHH</t>
  </si>
  <si>
    <t>T</t>
  </si>
  <si>
    <t>WT</t>
  </si>
  <si>
    <t>HII</t>
  </si>
  <si>
    <t>EPP</t>
  </si>
  <si>
    <t>TRU</t>
  </si>
  <si>
    <t>DFR</t>
  </si>
  <si>
    <t>MBG</t>
  </si>
  <si>
    <t>ITW</t>
  </si>
  <si>
    <t>PLOT</t>
  </si>
  <si>
    <t>JAQ</t>
  </si>
  <si>
    <t>YTR</t>
  </si>
  <si>
    <t>DFGH</t>
  </si>
  <si>
    <t>MNGD</t>
  </si>
  <si>
    <t>FRED</t>
  </si>
  <si>
    <t>ZAT</t>
  </si>
  <si>
    <t>LOP</t>
  </si>
  <si>
    <t>Working with Charts: Multiple categories</t>
  </si>
  <si>
    <t>WindSport Summer Sales</t>
  </si>
  <si>
    <t>In Store Sales</t>
  </si>
  <si>
    <t>Web Site Sales</t>
  </si>
  <si>
    <t>Mail Order Sales</t>
  </si>
  <si>
    <t>Totals</t>
  </si>
  <si>
    <t>Boomerangs</t>
  </si>
  <si>
    <t>Kites</t>
  </si>
  <si>
    <t>Toys</t>
  </si>
  <si>
    <t>Multiple Types of Charts</t>
  </si>
  <si>
    <t>Year</t>
  </si>
  <si>
    <t>Qtr 1</t>
  </si>
  <si>
    <t>Qtr 2</t>
  </si>
  <si>
    <t>Qtr 3</t>
  </si>
  <si>
    <t>Qtr 4</t>
  </si>
  <si>
    <t>Qtr</t>
  </si>
  <si>
    <t>Revenue</t>
  </si>
  <si>
    <t>Expenses</t>
  </si>
  <si>
    <t>Test 1</t>
  </si>
  <si>
    <t>Test 2</t>
  </si>
  <si>
    <t>Test 3</t>
  </si>
  <si>
    <t>Using the IF Statement/Condition</t>
  </si>
  <si>
    <t>Logical Formula or
logical_test</t>
  </si>
  <si>
    <t>IF used to put 1 of 2 words in cell</t>
  </si>
  <si>
    <t>IF used to put 1 of 2 numbers in cell</t>
  </si>
  <si>
    <t>Employee</t>
  </si>
  <si>
    <t>Bonus:
TRUE or FALSE</t>
  </si>
  <si>
    <t>Bonus:
"Yes" or "No"</t>
  </si>
  <si>
    <t>Bonus Amount</t>
  </si>
  <si>
    <t>Rod Barbaria</t>
  </si>
  <si>
    <t>Elinore Cromedy</t>
  </si>
  <si>
    <t>Twanda Spruce</t>
  </si>
  <si>
    <t>Darius Raffety</t>
  </si>
  <si>
    <t>Frida Vickerson</t>
  </si>
  <si>
    <t>Bonus Hurdle</t>
  </si>
  <si>
    <t>Bonus Amount If Hurdle Equaled or Passed</t>
  </si>
  <si>
    <t>Total weekly family income</t>
  </si>
  <si>
    <t>No of family members</t>
  </si>
  <si>
    <t>Income per family member</t>
  </si>
  <si>
    <t>Use the Round Function to 2 Decimal Places</t>
  </si>
  <si>
    <r>
      <rPr>
        <b/>
        <sz val="14"/>
        <rFont val="Wingdings"/>
        <charset val="2"/>
      </rPr>
      <t>ï</t>
    </r>
    <r>
      <rPr>
        <b/>
        <sz val="14"/>
        <rFont val="Arial"/>
        <family val="2"/>
      </rPr>
      <t xml:space="preserve"> Round the contents of Cell C4 to 2 Decimal Places</t>
    </r>
  </si>
  <si>
    <t>Go to Learning Outcomes</t>
  </si>
  <si>
    <t>````</t>
  </si>
  <si>
    <t>Use the Round Up Function to 2 Decimal Places</t>
  </si>
  <si>
    <r>
      <rPr>
        <b/>
        <sz val="14"/>
        <rFont val="Wingdings"/>
        <charset val="2"/>
      </rPr>
      <t>ï</t>
    </r>
    <r>
      <rPr>
        <b/>
        <sz val="14"/>
        <rFont val="Arial"/>
        <family val="2"/>
      </rPr>
      <t xml:space="preserve"> Round Up the contents of Cell C4 to 2 Decimal Places</t>
    </r>
  </si>
  <si>
    <t>Use the Round Down Function to 2 Decimal Places</t>
  </si>
  <si>
    <r>
      <rPr>
        <b/>
        <sz val="14"/>
        <rFont val="Wingdings"/>
        <charset val="2"/>
      </rPr>
      <t>ï</t>
    </r>
    <r>
      <rPr>
        <b/>
        <sz val="14"/>
        <rFont val="Arial"/>
        <family val="2"/>
      </rPr>
      <t xml:space="preserve"> Round Down the contents of Cell C4 to 2 Decimal Places</t>
    </r>
  </si>
  <si>
    <t>Monthly Sales</t>
  </si>
  <si>
    <t>Salesperson</t>
  </si>
  <si>
    <t>No. of units sold</t>
  </si>
  <si>
    <t>Value of each unit</t>
  </si>
  <si>
    <t>Value of sales</t>
  </si>
  <si>
    <t>Hilda</t>
  </si>
  <si>
    <t>Agustín</t>
  </si>
  <si>
    <t>Amerigo</t>
  </si>
  <si>
    <t>Susan</t>
  </si>
  <si>
    <t>Enrique</t>
  </si>
  <si>
    <t>Jan</t>
  </si>
  <si>
    <t>Girish</t>
  </si>
  <si>
    <r>
      <rPr>
        <b/>
        <sz val="10"/>
        <rFont val="Wingdings"/>
        <charset val="2"/>
      </rPr>
      <t>ï</t>
    </r>
    <r>
      <rPr>
        <b/>
        <sz val="10"/>
        <rFont val="Arial"/>
        <family val="2"/>
      </rPr>
      <t xml:space="preserve"> Find the total value of sales, where each salesperson sold products valued at over 3000 (Use Wizard, Answer 9000)</t>
    </r>
  </si>
  <si>
    <t>The SUMIF function is used to sum the values in a range that meet criteria that you specify</t>
  </si>
  <si>
    <t>Grade A</t>
  </si>
  <si>
    <t>Grade B</t>
  </si>
  <si>
    <t>Grade C</t>
  </si>
  <si>
    <t>Mathematics</t>
  </si>
  <si>
    <t>History</t>
  </si>
  <si>
    <t>Geography</t>
  </si>
  <si>
    <t>b</t>
  </si>
  <si>
    <t>Economics</t>
  </si>
  <si>
    <r>
      <rPr>
        <b/>
        <sz val="10"/>
        <rFont val="Wingdings"/>
        <charset val="2"/>
      </rPr>
      <t>ï</t>
    </r>
    <r>
      <rPr>
        <b/>
        <sz val="10"/>
        <rFont val="Arial"/>
        <family val="2"/>
      </rPr>
      <t xml:space="preserve"> Use the COUNT function to count (not add) cells above which contain a number</t>
    </r>
  </si>
  <si>
    <t>x</t>
  </si>
  <si>
    <r>
      <rPr>
        <b/>
        <sz val="14"/>
        <rFont val="Wingdings"/>
        <charset val="2"/>
      </rPr>
      <t>ï</t>
    </r>
    <r>
      <rPr>
        <b/>
        <sz val="14"/>
        <rFont val="Arial"/>
        <family val="2"/>
      </rPr>
      <t xml:space="preserve"> Use the COUNTA function to count cells above which contain a letter</t>
    </r>
  </si>
  <si>
    <t>Passed</t>
  </si>
  <si>
    <t>IT</t>
  </si>
  <si>
    <t>English</t>
  </si>
  <si>
    <t>No of subjects not passed</t>
  </si>
  <si>
    <r>
      <rPr>
        <b/>
        <sz val="14"/>
        <rFont val="Wingdings"/>
        <charset val="2"/>
      </rPr>
      <t>ï</t>
    </r>
    <r>
      <rPr>
        <b/>
        <sz val="14"/>
        <rFont val="Arial"/>
        <family val="2"/>
      </rPr>
      <t xml:space="preserve"> Use the COUNTBLANK function to count cells above which contain no value</t>
    </r>
  </si>
  <si>
    <t>Dave</t>
  </si>
  <si>
    <t>Rowan</t>
  </si>
  <si>
    <t>Elliot</t>
  </si>
  <si>
    <t>A</t>
  </si>
  <si>
    <t>B</t>
  </si>
  <si>
    <t>C</t>
  </si>
  <si>
    <t>Total no. of A grades</t>
  </si>
  <si>
    <r>
      <rPr>
        <b/>
        <sz val="12"/>
        <rFont val="Wingdings"/>
        <charset val="2"/>
      </rPr>
      <t>ï</t>
    </r>
    <r>
      <rPr>
        <b/>
        <sz val="12"/>
        <rFont val="Arial"/>
        <family val="2"/>
      </rPr>
      <t xml:space="preserve"> Use the COUNTIF function to count cells above which contain an A. (Hint: Use Wizard)</t>
    </r>
  </si>
  <si>
    <t>Name</t>
  </si>
  <si>
    <t>First Initial</t>
  </si>
  <si>
    <t>Both Initials</t>
  </si>
  <si>
    <t>A Hastert</t>
  </si>
  <si>
    <t xml:space="preserve">1) By using a function, extract the First Initial In First Initial Column </t>
  </si>
  <si>
    <t>B Pelosi</t>
  </si>
  <si>
    <t>C Radanovich</t>
  </si>
  <si>
    <t>2) By using a function, extract the Both In Second Column</t>
  </si>
  <si>
    <t>D Arriete</t>
  </si>
  <si>
    <t>E Dreifuss</t>
  </si>
  <si>
    <t>F Dumas</t>
  </si>
  <si>
    <t>G Gravani</t>
  </si>
  <si>
    <t>E Wilson</t>
  </si>
  <si>
    <t>H Feeney</t>
  </si>
  <si>
    <t>F Mach</t>
  </si>
  <si>
    <t>E Cox</t>
  </si>
  <si>
    <t>W DeLay</t>
  </si>
  <si>
    <t>J Hugo</t>
  </si>
  <si>
    <t>D Hurston</t>
  </si>
  <si>
    <t>F Murray</t>
  </si>
  <si>
    <t>K Blunt</t>
  </si>
  <si>
    <t>ID-Name</t>
  </si>
  <si>
    <t>Country</t>
  </si>
  <si>
    <t>George-UK</t>
  </si>
  <si>
    <t>1) By using a function, extract the Country from the First Column to the Second e.g UK</t>
  </si>
  <si>
    <t>Agustín-EU</t>
  </si>
  <si>
    <t>Ruth-AU</t>
  </si>
  <si>
    <t>Louis-SA</t>
  </si>
  <si>
    <t>Valentino-UK</t>
  </si>
  <si>
    <t>Birgit-SA</t>
  </si>
  <si>
    <t>Christopher-IE</t>
  </si>
  <si>
    <t>Tom-SA</t>
  </si>
  <si>
    <t>Christa-IT</t>
  </si>
  <si>
    <t>Zora-SA</t>
  </si>
  <si>
    <t>Lou-UK</t>
  </si>
  <si>
    <t>Mark-NZ</t>
  </si>
  <si>
    <t>Robert-UK</t>
  </si>
  <si>
    <t>Hilda-AU</t>
  </si>
  <si>
    <t>Enrique-NZ</t>
  </si>
  <si>
    <t>Jan-NZ</t>
  </si>
  <si>
    <t>Girish-AU</t>
  </si>
  <si>
    <t>Mallika-MT</t>
  </si>
  <si>
    <t>Amerigo-AU</t>
  </si>
  <si>
    <t>DVD Product ID</t>
  </si>
  <si>
    <t>Country Region</t>
  </si>
  <si>
    <t>DVDUS10284</t>
  </si>
  <si>
    <t>1) By using a function, extract the Country after the words DVD and before the number. E.g US, EU, etc</t>
  </si>
  <si>
    <t>DVDEU10290</t>
  </si>
  <si>
    <t>DVDUS10296</t>
  </si>
  <si>
    <t>DVDUS10302</t>
  </si>
  <si>
    <t>DVDMT10308</t>
  </si>
  <si>
    <t>DVDIT10314</t>
  </si>
  <si>
    <t>DVDUK10320</t>
  </si>
  <si>
    <t>DVDUK10326</t>
  </si>
  <si>
    <t>DVDUK10332</t>
  </si>
  <si>
    <t>DVDIT10338</t>
  </si>
  <si>
    <t>DVDAU10344</t>
  </si>
  <si>
    <t>DVDMT10350</t>
  </si>
  <si>
    <t>DVDAU10356</t>
  </si>
  <si>
    <t>DVDUS10362</t>
  </si>
  <si>
    <t>Hello, my name is HAL</t>
  </si>
  <si>
    <t>1) By using a function, trim the extra spaces</t>
  </si>
  <si>
    <t xml:space="preserve"> Hello, my name is HAL</t>
  </si>
  <si>
    <t xml:space="preserve">  Hello, my name is HAL</t>
  </si>
  <si>
    <t xml:space="preserve">   Hello, my name is HAL</t>
  </si>
  <si>
    <t xml:space="preserve">    Hello, my name is HAL</t>
  </si>
  <si>
    <t xml:space="preserve">     Hello, my name is HAL</t>
  </si>
  <si>
    <t xml:space="preserve">      Hello, my name is HAL</t>
  </si>
  <si>
    <t xml:space="preserve">       Hello, my name is HAL</t>
  </si>
  <si>
    <t xml:space="preserve">        Hello, my name is HAL</t>
  </si>
  <si>
    <t xml:space="preserve">         Hello, my name is HAL</t>
  </si>
  <si>
    <t xml:space="preserve">This </t>
  </si>
  <si>
    <t xml:space="preserve">is </t>
  </si>
  <si>
    <t xml:space="preserve">a </t>
  </si>
  <si>
    <t xml:space="preserve">test </t>
  </si>
  <si>
    <r>
      <rPr>
        <b/>
        <sz val="10"/>
        <rFont val="Wingdings"/>
        <charset val="2"/>
      </rPr>
      <t>ï</t>
    </r>
    <r>
      <rPr>
        <b/>
        <sz val="10"/>
        <rFont val="Arial"/>
        <family val="2"/>
      </rPr>
      <t xml:space="preserve"> 1) Use a function to combine the text in the different rows above </t>
    </r>
  </si>
  <si>
    <t>is a</t>
  </si>
  <si>
    <t>Supercalifragilistic</t>
  </si>
  <si>
    <t>Excel Sheet!</t>
  </si>
  <si>
    <r>
      <rPr>
        <b/>
        <sz val="10"/>
        <rFont val="Wingdings"/>
        <charset val="2"/>
      </rPr>
      <t>ï</t>
    </r>
    <r>
      <rPr>
        <b/>
        <sz val="10"/>
        <rFont val="Arial"/>
        <family val="2"/>
      </rPr>
      <t xml:space="preserve"> 2) Use a function to combine the text in the different colums above </t>
    </r>
  </si>
  <si>
    <t>Packet Size</t>
  </si>
  <si>
    <t>Normal Post</t>
  </si>
  <si>
    <t>Priority Post</t>
  </si>
  <si>
    <t>Small</t>
  </si>
  <si>
    <t>Normal post price</t>
  </si>
  <si>
    <t>Priority Post price</t>
  </si>
  <si>
    <t>Large</t>
  </si>
  <si>
    <t>Medium</t>
  </si>
  <si>
    <t>Example of using VLOOKUP</t>
  </si>
  <si>
    <t>Hint: There is a hidden sheet! Unhide it!</t>
  </si>
  <si>
    <t>Group Name</t>
  </si>
  <si>
    <t>Group Segment</t>
  </si>
  <si>
    <t>Net Income/Loss</t>
  </si>
  <si>
    <t>Adjusted Region</t>
  </si>
  <si>
    <t>Postcards Store</t>
  </si>
  <si>
    <t>Big</t>
  </si>
  <si>
    <t>N</t>
  </si>
  <si>
    <t>1-North</t>
  </si>
  <si>
    <t>Randles Roadshack</t>
  </si>
  <si>
    <t>W</t>
  </si>
  <si>
    <t>S</t>
  </si>
  <si>
    <t>2-South</t>
  </si>
  <si>
    <t>Examineers Inc</t>
  </si>
  <si>
    <t>E</t>
  </si>
  <si>
    <t>3-East</t>
  </si>
  <si>
    <t>Buttersworth Co</t>
  </si>
  <si>
    <t>4-West</t>
  </si>
  <si>
    <t>FASST Trax</t>
  </si>
  <si>
    <t>SE</t>
  </si>
  <si>
    <t>NE</t>
  </si>
  <si>
    <t>Hula Hoopers</t>
  </si>
  <si>
    <t>Hehehe</t>
  </si>
  <si>
    <t>Marleyville Tea</t>
  </si>
  <si>
    <t>Creepy Lada</t>
  </si>
  <si>
    <t>Jokes R Us</t>
  </si>
  <si>
    <t>Petie's Palace</t>
  </si>
  <si>
    <t>Ramone's Castle</t>
  </si>
  <si>
    <t>Another Example using VLOOKUP</t>
  </si>
  <si>
    <t>Enter Package Size (A, B, C)</t>
  </si>
  <si>
    <t>a</t>
  </si>
  <si>
    <t>Enter Mail Type 2 Land, 3 Sea, 4 Air)</t>
  </si>
  <si>
    <t>Mailing Cost</t>
  </si>
  <si>
    <t>c</t>
  </si>
  <si>
    <t xml:space="preserve">The date today is: </t>
  </si>
  <si>
    <r>
      <rPr>
        <b/>
        <sz val="14"/>
        <rFont val="Wingdings"/>
        <charset val="2"/>
      </rPr>
      <t>ï</t>
    </r>
    <r>
      <rPr>
        <b/>
        <sz val="14"/>
        <rFont val="Arial"/>
        <family val="2"/>
      </rPr>
      <t xml:space="preserve"> Insert todays date</t>
    </r>
  </si>
  <si>
    <t>The date and time now is:</t>
  </si>
  <si>
    <r>
      <rPr>
        <b/>
        <sz val="14"/>
        <rFont val="Wingdings"/>
        <charset val="2"/>
      </rPr>
      <t>ï</t>
    </r>
    <r>
      <rPr>
        <b/>
        <sz val="14"/>
        <rFont val="Arial"/>
        <family val="2"/>
      </rPr>
      <t xml:space="preserve"> Insert todays date and time</t>
    </r>
  </si>
  <si>
    <t>The date today is:</t>
  </si>
  <si>
    <t xml:space="preserve">The day is: </t>
  </si>
  <si>
    <r>
      <rPr>
        <b/>
        <sz val="14"/>
        <rFont val="Wingdings"/>
        <charset val="2"/>
      </rPr>
      <t>ï</t>
    </r>
    <r>
      <rPr>
        <b/>
        <sz val="14"/>
        <rFont val="Arial"/>
        <family val="2"/>
      </rPr>
      <t xml:space="preserve"> Extract the day from the date shown above.</t>
    </r>
  </si>
  <si>
    <t>Note: =DAY()</t>
  </si>
  <si>
    <t xml:space="preserve">The month is: </t>
  </si>
  <si>
    <r>
      <rPr>
        <b/>
        <sz val="14"/>
        <rFont val="Wingdings"/>
        <charset val="2"/>
      </rPr>
      <t>ï</t>
    </r>
    <r>
      <rPr>
        <b/>
        <sz val="14"/>
        <rFont val="Arial"/>
        <family val="2"/>
      </rPr>
      <t xml:space="preserve"> Extract the month from the date shown above.</t>
    </r>
  </si>
  <si>
    <t xml:space="preserve">The year is: </t>
  </si>
  <si>
    <r>
      <rPr>
        <b/>
        <sz val="14"/>
        <rFont val="Wingdings"/>
        <charset val="2"/>
      </rPr>
      <t>ï</t>
    </r>
    <r>
      <rPr>
        <b/>
        <sz val="14"/>
        <rFont val="Arial"/>
        <family val="2"/>
      </rPr>
      <t xml:space="preserve"> Extract the year from the date shown above.</t>
    </r>
  </si>
  <si>
    <t>Absolute  References</t>
  </si>
  <si>
    <t>Sales person</t>
  </si>
  <si>
    <t>Sales (North Region)</t>
  </si>
  <si>
    <t>Sales (South Region)</t>
  </si>
  <si>
    <t>Gravani</t>
  </si>
  <si>
    <t>Pelosi</t>
  </si>
  <si>
    <t>Wilson</t>
  </si>
  <si>
    <t>Menendez</t>
  </si>
  <si>
    <t>Average Sales</t>
  </si>
  <si>
    <r>
      <rPr>
        <b/>
        <sz val="10"/>
        <rFont val="Wingdings"/>
        <charset val="2"/>
      </rPr>
      <t>ï</t>
    </r>
    <r>
      <rPr>
        <b/>
        <sz val="10"/>
        <rFont val="Arial"/>
        <family val="2"/>
      </rPr>
      <t xml:space="preserve"> 1) Work out average sales</t>
    </r>
  </si>
  <si>
    <t>Total Sales</t>
  </si>
  <si>
    <r>
      <rPr>
        <b/>
        <sz val="10"/>
        <rFont val="Wingdings"/>
        <charset val="2"/>
      </rPr>
      <t>ï</t>
    </r>
    <r>
      <rPr>
        <b/>
        <sz val="10"/>
        <rFont val="Arial"/>
        <family val="2"/>
      </rPr>
      <t xml:space="preserve"> 2) Work out total sales</t>
    </r>
  </si>
  <si>
    <t>Sales target average is 25</t>
  </si>
  <si>
    <t>Total, if average sales are achieved.</t>
  </si>
  <si>
    <r>
      <rPr>
        <b/>
        <sz val="10"/>
        <rFont val="Wingdings"/>
        <charset val="2"/>
      </rPr>
      <t>ï</t>
    </r>
    <r>
      <rPr>
        <b/>
        <sz val="10"/>
        <rFont val="Arial"/>
        <family val="2"/>
      </rPr>
      <t xml:space="preserve"> 3) Work out total sales only if average sales are met</t>
    </r>
  </si>
  <si>
    <t>Refer to Notes: Page 126</t>
  </si>
  <si>
    <t>Generate Some Random Data from Mockaroo.com</t>
  </si>
  <si>
    <t>Sales in 2008</t>
  </si>
  <si>
    <t>Sales in 2009</t>
  </si>
  <si>
    <r>
      <rPr>
        <b/>
        <sz val="10"/>
        <rFont val="Wingdings"/>
        <charset val="2"/>
      </rPr>
      <t>ï</t>
    </r>
    <r>
      <rPr>
        <b/>
        <sz val="10"/>
        <rFont val="Arial"/>
        <family val="2"/>
      </rPr>
      <t xml:space="preserve"> 1) Create a combined Line and Column Chart based on this data</t>
    </r>
  </si>
  <si>
    <t>North</t>
  </si>
  <si>
    <t>Back to Learning Outcomes</t>
  </si>
  <si>
    <t>```</t>
  </si>
  <si>
    <t>`</t>
  </si>
  <si>
    <t>Sales Month</t>
  </si>
  <si>
    <t>Product ID</t>
  </si>
  <si>
    <t>Unit Price</t>
  </si>
  <si>
    <t>No. of Sales</t>
  </si>
  <si>
    <t>Total Sales Value</t>
  </si>
  <si>
    <r>
      <rPr>
        <b/>
        <sz val="10"/>
        <rFont val="Wingdings"/>
        <charset val="2"/>
      </rPr>
      <t>ï</t>
    </r>
    <r>
      <rPr>
        <b/>
        <sz val="10"/>
        <rFont val="Arial"/>
        <family val="2"/>
      </rPr>
      <t xml:space="preserve"> 1) Create a column chart, and add a line chart axis to the Total Sales Value</t>
    </r>
  </si>
  <si>
    <t>April</t>
  </si>
  <si>
    <t>May</t>
  </si>
  <si>
    <t>June</t>
  </si>
  <si>
    <t>July</t>
  </si>
  <si>
    <t>August</t>
  </si>
  <si>
    <t>September</t>
  </si>
  <si>
    <t>Sales 2007</t>
  </si>
  <si>
    <t>Sales 2008</t>
  </si>
  <si>
    <t>Sales 2009</t>
  </si>
  <si>
    <r>
      <rPr>
        <b/>
        <sz val="10"/>
        <rFont val="Wingdings"/>
        <charset val="2"/>
      </rPr>
      <t>ï</t>
    </r>
    <r>
      <rPr>
        <b/>
        <sz val="10"/>
        <rFont val="Arial"/>
        <family val="2"/>
      </rPr>
      <t xml:space="preserve"> 1) Change the West Sales Region to a Line Chart</t>
    </r>
  </si>
  <si>
    <t>Sales for 2008</t>
  </si>
  <si>
    <t>Sales for 2009</t>
  </si>
  <si>
    <r>
      <rPr>
        <b/>
        <sz val="10"/>
        <rFont val="Wingdings"/>
        <charset val="2"/>
      </rPr>
      <t>ï</t>
    </r>
    <r>
      <rPr>
        <b/>
        <sz val="10"/>
        <rFont val="Arial"/>
        <family val="2"/>
      </rPr>
      <t xml:space="preserve"> 1) The chart Title can be moved around</t>
    </r>
  </si>
  <si>
    <r>
      <rPr>
        <b/>
        <sz val="10"/>
        <rFont val="Wingdings"/>
        <charset val="2"/>
      </rPr>
      <t>ï</t>
    </r>
    <r>
      <rPr>
        <b/>
        <sz val="10"/>
        <rFont val="Arial"/>
        <family val="2"/>
      </rPr>
      <t xml:space="preserve"> 1) The chart Legend can be moved around</t>
    </r>
  </si>
  <si>
    <r>
      <rPr>
        <b/>
        <sz val="10"/>
        <rFont val="Wingdings"/>
        <charset val="2"/>
      </rPr>
      <t>ï</t>
    </r>
    <r>
      <rPr>
        <b/>
        <sz val="10"/>
        <rFont val="Arial"/>
        <family val="2"/>
      </rPr>
      <t xml:space="preserve"> 1) The chart data labels can be moved around</t>
    </r>
  </si>
  <si>
    <t>1) Change the MINIMUM Axis unit to fixed 50</t>
  </si>
  <si>
    <t>2) Change the MAXIMUM Axis unit to fixed 300</t>
  </si>
  <si>
    <t>3) Change the MAJOR unit to fixed 100</t>
  </si>
  <si>
    <t>4) Change the MINOR unit to fixed 50</t>
  </si>
  <si>
    <t>1) Change the chart axis scale to show Hundred (00's)</t>
  </si>
  <si>
    <t>2) Change the chart axis scale to show Thousands (000's)</t>
  </si>
  <si>
    <t>Chart Axis Units</t>
  </si>
  <si>
    <t>Sales for 2007</t>
  </si>
  <si>
    <t>1) Replace the Purple Plot area within the bar chart with a Color of your choice</t>
  </si>
  <si>
    <t>2) Replace the Colored Plot area within the bar chart with a Picture of your choice</t>
  </si>
  <si>
    <t>1) Replace the Grey Plot area with a Color of your choice</t>
  </si>
  <si>
    <t>2) Replace the Colored Plot area with a Picture of your choice</t>
  </si>
  <si>
    <t>1) Replace the Blue Area with a Color of your Choice</t>
  </si>
  <si>
    <t>2) Replace the Colored Area with a Picture of your Choice</t>
  </si>
  <si>
    <t>Using a pivot table</t>
  </si>
  <si>
    <t>Order Number</t>
  </si>
  <si>
    <t>Course</t>
  </si>
  <si>
    <t>Price/day for training</t>
  </si>
  <si>
    <t>No. of days training sold</t>
  </si>
  <si>
    <t>Total value</t>
  </si>
  <si>
    <t>Sales Person</t>
  </si>
  <si>
    <t>Excel Training</t>
  </si>
  <si>
    <t>ZYX Company</t>
  </si>
  <si>
    <t>Peter</t>
  </si>
  <si>
    <t>XZY Company</t>
  </si>
  <si>
    <t>Lou</t>
  </si>
  <si>
    <t>KLM Company</t>
  </si>
  <si>
    <t>Robert</t>
  </si>
  <si>
    <t>ABC Company</t>
  </si>
  <si>
    <t>Sue</t>
  </si>
  <si>
    <t>Word Training</t>
  </si>
  <si>
    <t>PowerPoint Training</t>
  </si>
  <si>
    <t>Access Training</t>
  </si>
  <si>
    <t>QWE Company</t>
  </si>
  <si>
    <t>Example of using a pivot table</t>
  </si>
  <si>
    <t>Sum of Total value</t>
  </si>
  <si>
    <t>Grand Total</t>
  </si>
  <si>
    <t>Row Labels</t>
  </si>
  <si>
    <t>Sum of Price/day for training</t>
  </si>
  <si>
    <t>Sum of No. of days training sold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</si>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</sst>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$&quot;#,##0_);[Red]\(&quot;$&quot;#,##0\)"/>
    <numFmt numFmtId="165" formatCode="&quot;$&quot;#,##0.00_);[Red]\(&quot;$&quot;#,##0.00\)"/>
    <numFmt numFmtId="166" formatCode="_(&quot;$&quot;* #,##0.00_);_(&quot;$&quot;* \(#,##0.00\);_(&quot;$&quot;* &quot;-&quot;??_);_(@_)"/>
    <numFmt numFmtId="167" formatCode="m/d/yy"/>
    <numFmt numFmtId="168" formatCode="0.0000"/>
    <numFmt numFmtId="169" formatCode="_-&quot;£&quot;* #,##0.00_-;\-&quot;£&quot;* #,##0.00_-;_-&quot;£&quot;* &quot;-&quot;??_-;_-@_-"/>
  </numFmts>
  <fonts count="5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sz val="14"/>
      <color theme="0"/>
      <name val="Calibri"/>
      <family val="2"/>
      <scheme val="minor"/>
    </font>
    <font>
      <sz val="10"/>
      <name val="Arial"/>
      <family val="2"/>
    </font>
    <font>
      <sz val="24"/>
      <color theme="0"/>
      <name val="Calibri"/>
      <family val="2"/>
      <scheme val="minor"/>
    </font>
    <font>
      <b/>
      <sz val="11"/>
      <color rgb="FFFFFFFF"/>
      <name val="Calibri"/>
      <family val="2"/>
    </font>
    <font>
      <sz val="12"/>
      <name val="Arial"/>
      <family val="2"/>
    </font>
    <font>
      <sz val="22"/>
      <color theme="0"/>
      <name val="Calibri"/>
      <family val="2"/>
      <scheme val="minor"/>
    </font>
    <font>
      <sz val="10"/>
      <color theme="0"/>
      <name val="Arial"/>
      <family val="2"/>
    </font>
    <font>
      <sz val="12"/>
      <color theme="0"/>
      <name val="Arial"/>
      <family val="2"/>
    </font>
    <font>
      <sz val="16"/>
      <name val="Arial"/>
      <family val="2"/>
    </font>
    <font>
      <sz val="16"/>
      <color theme="0"/>
      <name val="Calibri"/>
      <family val="2"/>
      <scheme val="minor"/>
    </font>
    <font>
      <sz val="2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name val="Wingdings"/>
      <charset val="2"/>
    </font>
    <font>
      <b/>
      <sz val="14"/>
      <name val="Arial"/>
      <family val="2"/>
    </font>
    <font>
      <b/>
      <sz val="12"/>
      <color indexed="12"/>
      <name val="Arial"/>
      <family val="2"/>
    </font>
    <font>
      <b/>
      <sz val="10"/>
      <name val="Wingdings"/>
      <charset val="2"/>
    </font>
    <font>
      <b/>
      <sz val="10"/>
      <color indexed="10"/>
      <name val="Arial"/>
      <family val="2"/>
    </font>
    <font>
      <b/>
      <sz val="9"/>
      <color indexed="10"/>
      <name val="Arial"/>
      <family val="2"/>
    </font>
    <font>
      <b/>
      <sz val="14"/>
      <color indexed="18"/>
      <name val="Arial"/>
      <family val="2"/>
    </font>
    <font>
      <b/>
      <i/>
      <sz val="14"/>
      <color indexed="9"/>
      <name val="Arial"/>
      <family val="2"/>
    </font>
    <font>
      <b/>
      <sz val="12"/>
      <color indexed="18"/>
      <name val="Arial"/>
      <family val="2"/>
    </font>
    <font>
      <b/>
      <i/>
      <sz val="12"/>
      <color indexed="13"/>
      <name val="Arial"/>
      <family val="2"/>
    </font>
    <font>
      <b/>
      <i/>
      <sz val="12"/>
      <color indexed="9"/>
      <name val="Arial"/>
      <family val="2"/>
    </font>
    <font>
      <b/>
      <sz val="12"/>
      <name val="Wingdings"/>
      <charset val="2"/>
    </font>
    <font>
      <b/>
      <sz val="10"/>
      <color indexed="18"/>
      <name val="Arial"/>
      <family val="2"/>
    </font>
    <font>
      <b/>
      <i/>
      <sz val="9"/>
      <color indexed="9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sz val="14"/>
      <color theme="1"/>
      <name val="Calibri"/>
      <family val="2"/>
      <scheme val="minor"/>
    </font>
    <font>
      <sz val="11"/>
      <name val="Arial"/>
      <family val="2"/>
    </font>
    <font>
      <b/>
      <sz val="12"/>
      <color indexed="9"/>
      <name val="Arial"/>
      <family val="2"/>
    </font>
    <font>
      <b/>
      <sz val="14"/>
      <color indexed="10"/>
      <name val="Arial"/>
      <family val="2"/>
    </font>
    <font>
      <sz val="10"/>
      <color indexed="9"/>
      <name val="Arial"/>
      <family val="2"/>
    </font>
    <font>
      <sz val="10"/>
      <color indexed="10"/>
      <name val="Arial"/>
      <family val="2"/>
    </font>
    <font>
      <b/>
      <u/>
      <sz val="10"/>
      <name val="Arial"/>
      <family val="2"/>
    </font>
    <font>
      <b/>
      <sz val="11"/>
      <color indexed="8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2"/>
      <color indexed="8"/>
      <name val="Arial"/>
      <family val="2"/>
    </font>
    <font>
      <b/>
      <u/>
      <sz val="11"/>
      <color theme="10"/>
      <name val="Calibri"/>
      <family val="2"/>
      <scheme val="minor"/>
    </font>
    <font>
      <b/>
      <sz val="10"/>
      <color indexed="9"/>
      <name val="Arial"/>
      <family val="2"/>
    </font>
    <font>
      <b/>
      <sz val="14"/>
      <color indexed="9"/>
      <name val="Arial"/>
      <family val="2"/>
    </font>
    <font>
      <sz val="9"/>
      <name val="Arial"/>
      <family val="2"/>
    </font>
    <font>
      <b/>
      <sz val="14"/>
      <color indexed="8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9"/>
      </patternFill>
    </fill>
    <fill>
      <patternFill patternType="solid">
        <fgColor rgb="FFFFFF99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4274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indexed="18"/>
        <bgColor indexed="2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1"/>
        <bgColor indexed="24"/>
      </patternFill>
    </fill>
    <fill>
      <patternFill patternType="solid">
        <fgColor indexed="8"/>
        <bgColor indexed="24"/>
      </patternFill>
    </fill>
    <fill>
      <patternFill patternType="solid">
        <fgColor indexed="42"/>
        <bgColor indexed="64"/>
      </patternFill>
    </fill>
    <fill>
      <patternFill patternType="darkGray">
        <fgColor indexed="21"/>
        <bgColor indexed="17"/>
      </patternFill>
    </fill>
    <fill>
      <patternFill patternType="solid">
        <fgColor indexed="42"/>
        <bgColor indexed="24"/>
      </patternFill>
    </fill>
    <fill>
      <patternFill patternType="solid">
        <fgColor indexed="9"/>
        <bgColor indexed="24"/>
      </patternFill>
    </fill>
    <fill>
      <patternFill patternType="solid">
        <fgColor indexed="16"/>
        <bgColor indexed="24"/>
      </patternFill>
    </fill>
    <fill>
      <patternFill patternType="darkGray">
        <fgColor indexed="9"/>
        <bgColor indexed="13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21"/>
      </left>
      <right/>
      <top style="thick">
        <color indexed="21"/>
      </top>
      <bottom/>
      <diagonal/>
    </border>
    <border>
      <left/>
      <right/>
      <top style="thick">
        <color indexed="21"/>
      </top>
      <bottom/>
      <diagonal/>
    </border>
    <border>
      <left/>
      <right style="thick">
        <color indexed="21"/>
      </right>
      <top style="thick">
        <color indexed="21"/>
      </top>
      <bottom/>
      <diagonal/>
    </border>
    <border>
      <left style="thick">
        <color indexed="21"/>
      </left>
      <right/>
      <top style="thin">
        <color indexed="15"/>
      </top>
      <bottom/>
      <diagonal/>
    </border>
    <border>
      <left/>
      <right/>
      <top style="thin">
        <color indexed="15"/>
      </top>
      <bottom/>
      <diagonal/>
    </border>
    <border>
      <left/>
      <right style="thick">
        <color indexed="21"/>
      </right>
      <top style="thin">
        <color indexed="15"/>
      </top>
      <bottom/>
      <diagonal/>
    </border>
    <border>
      <left style="thick">
        <color indexed="21"/>
      </left>
      <right/>
      <top style="thin">
        <color indexed="15"/>
      </top>
      <bottom style="thick">
        <color indexed="21"/>
      </bottom>
      <diagonal/>
    </border>
    <border>
      <left/>
      <right/>
      <top style="thin">
        <color indexed="15"/>
      </top>
      <bottom style="thick">
        <color indexed="21"/>
      </bottom>
      <diagonal/>
    </border>
    <border>
      <left/>
      <right style="thick">
        <color indexed="21"/>
      </right>
      <top style="thin">
        <color indexed="15"/>
      </top>
      <bottom style="thick">
        <color indexed="21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</borders>
  <cellStyleXfs count="13">
    <xf numFmtId="0" fontId="0" fillId="0" borderId="0"/>
    <xf numFmtId="0" fontId="2" fillId="0" borderId="1" applyNumberFormat="0" applyFill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0" borderId="0"/>
    <xf numFmtId="166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19" fillId="0" borderId="0" applyNumberFormat="0" applyFill="0" applyBorder="0" applyAlignment="0" applyProtection="0"/>
    <xf numFmtId="0" fontId="9" fillId="0" borderId="0"/>
    <xf numFmtId="0" fontId="5" fillId="0" borderId="0"/>
    <xf numFmtId="166" fontId="1" fillId="0" borderId="0" applyFont="0" applyFill="0" applyBorder="0" applyAlignment="0" applyProtection="0"/>
  </cellStyleXfs>
  <cellXfs count="233">
    <xf numFmtId="0" fontId="0" fillId="0" borderId="0" xfId="0"/>
    <xf numFmtId="4" fontId="0" fillId="0" borderId="0" xfId="0" applyNumberFormat="1"/>
    <xf numFmtId="0" fontId="4" fillId="3" borderId="0" xfId="3"/>
    <xf numFmtId="0" fontId="5" fillId="0" borderId="0" xfId="4"/>
    <xf numFmtId="0" fontId="6" fillId="0" borderId="0" xfId="4" applyFont="1"/>
    <xf numFmtId="0" fontId="5" fillId="0" borderId="2" xfId="4" applyBorder="1"/>
    <xf numFmtId="0" fontId="6" fillId="0" borderId="2" xfId="4" applyFont="1" applyBorder="1"/>
    <xf numFmtId="0" fontId="6" fillId="0" borderId="0" xfId="4" applyFont="1" applyAlignment="1">
      <alignment horizontal="left"/>
    </xf>
    <xf numFmtId="0" fontId="4" fillId="2" borderId="0" xfId="2"/>
    <xf numFmtId="0" fontId="4" fillId="2" borderId="0" xfId="2" applyBorder="1"/>
    <xf numFmtId="0" fontId="7" fillId="0" borderId="0" xfId="4" applyFont="1"/>
    <xf numFmtId="0" fontId="7" fillId="0" borderId="2" xfId="4" applyFont="1" applyBorder="1"/>
    <xf numFmtId="166" fontId="5" fillId="0" borderId="0" xfId="5" applyFont="1"/>
    <xf numFmtId="0" fontId="3" fillId="0" borderId="0" xfId="0" applyFont="1"/>
    <xf numFmtId="9" fontId="6" fillId="0" borderId="0" xfId="6" applyFont="1"/>
    <xf numFmtId="166" fontId="6" fillId="0" borderId="0" xfId="7" applyFont="1"/>
    <xf numFmtId="0" fontId="10" fillId="3" borderId="0" xfId="3" applyFont="1" applyAlignment="1"/>
    <xf numFmtId="165" fontId="9" fillId="0" borderId="3" xfId="8" applyNumberFormat="1" applyBorder="1"/>
    <xf numFmtId="0" fontId="9" fillId="0" borderId="3" xfId="8" applyBorder="1"/>
    <xf numFmtId="167" fontId="9" fillId="0" borderId="3" xfId="8" applyNumberFormat="1" applyBorder="1"/>
    <xf numFmtId="0" fontId="9" fillId="0" borderId="0" xfId="8"/>
    <xf numFmtId="0" fontId="9" fillId="4" borderId="3" xfId="8" applyFill="1" applyBorder="1" applyAlignment="1">
      <alignment horizontal="centerContinuous" wrapText="1"/>
    </xf>
    <xf numFmtId="0" fontId="11" fillId="5" borderId="3" xfId="8" applyFont="1" applyFill="1" applyBorder="1"/>
    <xf numFmtId="0" fontId="12" fillId="6" borderId="4" xfId="8" applyFont="1" applyFill="1" applyBorder="1" applyAlignment="1">
      <alignment horizontal="center"/>
    </xf>
    <xf numFmtId="0" fontId="12" fillId="6" borderId="2" xfId="8" applyFont="1" applyFill="1" applyBorder="1" applyAlignment="1">
      <alignment horizontal="center"/>
    </xf>
    <xf numFmtId="0" fontId="12" fillId="6" borderId="5" xfId="8" applyFont="1" applyFill="1" applyBorder="1" applyAlignment="1">
      <alignment horizontal="center"/>
    </xf>
    <xf numFmtId="0" fontId="12" fillId="6" borderId="6" xfId="8" applyFont="1" applyFill="1" applyBorder="1" applyAlignment="1">
      <alignment horizontal="center"/>
    </xf>
    <xf numFmtId="165" fontId="7" fillId="0" borderId="7" xfId="8" applyNumberFormat="1" applyFont="1" applyBorder="1" applyAlignment="1">
      <alignment horizontal="center"/>
    </xf>
    <xf numFmtId="0" fontId="7" fillId="6" borderId="8" xfId="8" applyFont="1" applyFill="1" applyBorder="1" applyAlignment="1">
      <alignment horizontal="left"/>
    </xf>
    <xf numFmtId="165" fontId="7" fillId="0" borderId="9" xfId="8" applyNumberFormat="1" applyFont="1" applyBorder="1" applyAlignment="1">
      <alignment horizontal="center"/>
    </xf>
    <xf numFmtId="165" fontId="7" fillId="0" borderId="3" xfId="8" applyNumberFormat="1" applyFont="1" applyBorder="1" applyAlignment="1">
      <alignment horizontal="center"/>
    </xf>
    <xf numFmtId="0" fontId="7" fillId="6" borderId="0" xfId="8" applyFont="1" applyFill="1" applyAlignment="1">
      <alignment horizontal="center"/>
    </xf>
    <xf numFmtId="0" fontId="7" fillId="6" borderId="8" xfId="8" applyFont="1" applyFill="1" applyBorder="1" applyAlignment="1">
      <alignment horizontal="center"/>
    </xf>
    <xf numFmtId="0" fontId="7" fillId="7" borderId="10" xfId="8" applyFont="1" applyFill="1" applyBorder="1" applyAlignment="1">
      <alignment horizontal="centerContinuous"/>
    </xf>
    <xf numFmtId="0" fontId="7" fillId="7" borderId="11" xfId="8" applyFont="1" applyFill="1" applyBorder="1" applyAlignment="1">
      <alignment horizontal="centerContinuous"/>
    </xf>
    <xf numFmtId="0" fontId="7" fillId="7" borderId="12" xfId="8" applyFont="1" applyFill="1" applyBorder="1" applyAlignment="1">
      <alignment horizontal="centerContinuous"/>
    </xf>
    <xf numFmtId="0" fontId="14" fillId="8" borderId="3" xfId="8" applyFont="1" applyFill="1" applyBorder="1"/>
    <xf numFmtId="0" fontId="12" fillId="0" borderId="0" xfId="8" applyFont="1"/>
    <xf numFmtId="164" fontId="12" fillId="0" borderId="3" xfId="8" applyNumberFormat="1" applyFont="1" applyBorder="1"/>
    <xf numFmtId="0" fontId="12" fillId="0" borderId="3" xfId="8" applyFont="1" applyBorder="1"/>
    <xf numFmtId="165" fontId="12" fillId="0" borderId="3" xfId="8" applyNumberFormat="1" applyFont="1" applyBorder="1"/>
    <xf numFmtId="0" fontId="15" fillId="8" borderId="3" xfId="8" applyFont="1" applyFill="1" applyBorder="1"/>
    <xf numFmtId="0" fontId="16" fillId="0" borderId="0" xfId="8" applyFont="1"/>
    <xf numFmtId="164" fontId="16" fillId="0" borderId="3" xfId="8" applyNumberFormat="1" applyFont="1" applyBorder="1"/>
    <xf numFmtId="0" fontId="17" fillId="9" borderId="3" xfId="8" applyFont="1" applyFill="1" applyBorder="1" applyAlignment="1">
      <alignment wrapText="1"/>
    </xf>
    <xf numFmtId="0" fontId="17" fillId="9" borderId="3" xfId="8" applyFont="1" applyFill="1" applyBorder="1"/>
    <xf numFmtId="164" fontId="16" fillId="0" borderId="0" xfId="8" applyNumberFormat="1" applyFont="1"/>
    <xf numFmtId="164" fontId="16" fillId="10" borderId="3" xfId="8" applyNumberFormat="1" applyFont="1" applyFill="1" applyBorder="1"/>
    <xf numFmtId="0" fontId="16" fillId="10" borderId="3" xfId="8" applyFont="1" applyFill="1" applyBorder="1"/>
    <xf numFmtId="0" fontId="16" fillId="0" borderId="3" xfId="8" applyFont="1" applyBorder="1"/>
    <xf numFmtId="0" fontId="16" fillId="4" borderId="3" xfId="8" applyFont="1" applyFill="1" applyBorder="1" applyAlignment="1">
      <alignment wrapText="1"/>
    </xf>
    <xf numFmtId="0" fontId="18" fillId="0" borderId="0" xfId="0" applyFont="1"/>
    <xf numFmtId="0" fontId="9" fillId="0" borderId="0" xfId="10"/>
    <xf numFmtId="0" fontId="19" fillId="0" borderId="0" xfId="9"/>
    <xf numFmtId="0" fontId="7" fillId="0" borderId="0" xfId="10" applyFont="1"/>
    <xf numFmtId="0" fontId="21" fillId="11" borderId="0" xfId="11" applyFont="1" applyFill="1"/>
    <xf numFmtId="0" fontId="22" fillId="0" borderId="0" xfId="10" applyFont="1"/>
    <xf numFmtId="0" fontId="12" fillId="0" borderId="0" xfId="10" applyFont="1"/>
    <xf numFmtId="0" fontId="21" fillId="0" borderId="0" xfId="10" applyFont="1"/>
    <xf numFmtId="0" fontId="6" fillId="0" borderId="0" xfId="10" applyFont="1" applyAlignment="1">
      <alignment wrapText="1"/>
    </xf>
    <xf numFmtId="0" fontId="9" fillId="0" borderId="3" xfId="10" applyBorder="1"/>
    <xf numFmtId="0" fontId="6" fillId="0" borderId="3" xfId="10" applyFont="1" applyBorder="1"/>
    <xf numFmtId="0" fontId="21" fillId="11" borderId="3" xfId="11" applyFont="1" applyFill="1" applyBorder="1"/>
    <xf numFmtId="0" fontId="24" fillId="0" borderId="3" xfId="0" applyFont="1" applyBorder="1"/>
    <xf numFmtId="0" fontId="25" fillId="0" borderId="3" xfId="0" applyFont="1" applyBorder="1"/>
    <xf numFmtId="0" fontId="6" fillId="0" borderId="3" xfId="0" applyFont="1" applyBorder="1" applyAlignment="1">
      <alignment horizontal="center"/>
    </xf>
    <xf numFmtId="0" fontId="6" fillId="0" borderId="3" xfId="0" applyFont="1" applyBorder="1"/>
    <xf numFmtId="0" fontId="25" fillId="0" borderId="3" xfId="0" applyFont="1" applyBorder="1" applyAlignment="1">
      <alignment horizontal="center" vertical="center"/>
    </xf>
    <xf numFmtId="0" fontId="6" fillId="0" borderId="0" xfId="0" applyFont="1"/>
    <xf numFmtId="0" fontId="0" fillId="0" borderId="3" xfId="0" applyBorder="1"/>
    <xf numFmtId="0" fontId="21" fillId="0" borderId="0" xfId="10" applyFont="1" applyAlignment="1">
      <alignment wrapText="1"/>
    </xf>
    <xf numFmtId="0" fontId="26" fillId="12" borderId="3" xfId="0" applyFont="1" applyFill="1" applyBorder="1" applyAlignment="1">
      <alignment horizontal="right"/>
    </xf>
    <xf numFmtId="0" fontId="27" fillId="13" borderId="3" xfId="0" applyFont="1" applyFill="1" applyBorder="1" applyAlignment="1">
      <alignment horizontal="center"/>
    </xf>
    <xf numFmtId="0" fontId="27" fillId="13" borderId="3" xfId="0" applyFont="1" applyFill="1" applyBorder="1" applyAlignment="1">
      <alignment horizontal="right"/>
    </xf>
    <xf numFmtId="0" fontId="28" fillId="12" borderId="3" xfId="0" applyFont="1" applyFill="1" applyBorder="1" applyAlignment="1">
      <alignment horizontal="right"/>
    </xf>
    <xf numFmtId="0" fontId="29" fillId="13" borderId="3" xfId="0" applyFont="1" applyFill="1" applyBorder="1" applyAlignment="1">
      <alignment horizontal="center"/>
    </xf>
    <xf numFmtId="0" fontId="30" fillId="13" borderId="14" xfId="0" applyFont="1" applyFill="1" applyBorder="1" applyAlignment="1">
      <alignment horizontal="right"/>
    </xf>
    <xf numFmtId="0" fontId="30" fillId="13" borderId="3" xfId="0" applyFont="1" applyFill="1" applyBorder="1" applyAlignment="1">
      <alignment horizontal="right"/>
    </xf>
    <xf numFmtId="0" fontId="28" fillId="12" borderId="3" xfId="0" applyFont="1" applyFill="1" applyBorder="1" applyAlignment="1">
      <alignment horizontal="center"/>
    </xf>
    <xf numFmtId="0" fontId="7" fillId="0" borderId="0" xfId="10" applyFont="1" applyAlignment="1">
      <alignment wrapText="1"/>
    </xf>
    <xf numFmtId="0" fontId="32" fillId="12" borderId="3" xfId="0" applyFont="1" applyFill="1" applyBorder="1" applyAlignment="1">
      <alignment horizontal="right"/>
    </xf>
    <xf numFmtId="0" fontId="33" fillId="13" borderId="3" xfId="0" applyFont="1" applyFill="1" applyBorder="1" applyAlignment="1">
      <alignment horizontal="center"/>
    </xf>
    <xf numFmtId="0" fontId="33" fillId="13" borderId="3" xfId="0" applyFont="1" applyFill="1" applyBorder="1" applyAlignment="1">
      <alignment horizontal="right"/>
    </xf>
    <xf numFmtId="0" fontId="32" fillId="12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1" fillId="0" borderId="0" xfId="11" applyFont="1"/>
    <xf numFmtId="0" fontId="34" fillId="14" borderId="15" xfId="0" applyFont="1" applyFill="1" applyBorder="1" applyAlignment="1">
      <alignment horizontal="center"/>
    </xf>
    <xf numFmtId="0" fontId="34" fillId="0" borderId="16" xfId="0" applyFont="1" applyBorder="1"/>
    <xf numFmtId="0" fontId="34" fillId="14" borderId="17" xfId="0" applyFont="1" applyFill="1" applyBorder="1" applyAlignment="1">
      <alignment horizontal="center"/>
    </xf>
    <xf numFmtId="0" fontId="34" fillId="0" borderId="18" xfId="0" applyFont="1" applyBorder="1"/>
    <xf numFmtId="0" fontId="34" fillId="0" borderId="19" xfId="0" applyFont="1" applyBorder="1" applyAlignment="1">
      <alignment horizontal="center"/>
    </xf>
    <xf numFmtId="0" fontId="34" fillId="0" borderId="20" xfId="0" applyFont="1" applyBorder="1"/>
    <xf numFmtId="0" fontId="34" fillId="14" borderId="3" xfId="10" applyFont="1" applyFill="1" applyBorder="1" applyAlignment="1">
      <alignment horizontal="center"/>
    </xf>
    <xf numFmtId="0" fontId="34" fillId="14" borderId="3" xfId="10" applyFont="1" applyFill="1" applyBorder="1"/>
    <xf numFmtId="0" fontId="34" fillId="0" borderId="3" xfId="10" applyFont="1" applyBorder="1" applyAlignment="1">
      <alignment horizontal="center"/>
    </xf>
    <xf numFmtId="0" fontId="34" fillId="0" borderId="3" xfId="10" applyFont="1" applyBorder="1"/>
    <xf numFmtId="0" fontId="7" fillId="14" borderId="3" xfId="10" applyFont="1" applyFill="1" applyBorder="1" applyAlignment="1">
      <alignment horizontal="center"/>
    </xf>
    <xf numFmtId="0" fontId="6" fillId="14" borderId="3" xfId="10" applyFont="1" applyFill="1" applyBorder="1"/>
    <xf numFmtId="0" fontId="35" fillId="0" borderId="0" xfId="10" applyFont="1" applyAlignment="1">
      <alignment wrapText="1"/>
    </xf>
    <xf numFmtId="0" fontId="7" fillId="15" borderId="3" xfId="10" applyFont="1" applyFill="1" applyBorder="1" applyAlignment="1">
      <alignment horizontal="center"/>
    </xf>
    <xf numFmtId="0" fontId="34" fillId="0" borderId="3" xfId="0" applyFont="1" applyBorder="1"/>
    <xf numFmtId="0" fontId="36" fillId="0" borderId="0" xfId="0" applyFont="1"/>
    <xf numFmtId="0" fontId="37" fillId="0" borderId="0" xfId="10" applyFont="1"/>
    <xf numFmtId="2" fontId="38" fillId="16" borderId="3" xfId="10" applyNumberFormat="1" applyFont="1" applyFill="1" applyBorder="1" applyAlignment="1">
      <alignment horizontal="center"/>
    </xf>
    <xf numFmtId="0" fontId="38" fillId="16" borderId="3" xfId="10" applyFont="1" applyFill="1" applyBorder="1" applyAlignment="1">
      <alignment horizontal="center"/>
    </xf>
    <xf numFmtId="0" fontId="33" fillId="17" borderId="3" xfId="10" applyFont="1" applyFill="1" applyBorder="1" applyAlignment="1">
      <alignment horizontal="center"/>
    </xf>
    <xf numFmtId="2" fontId="34" fillId="0" borderId="21" xfId="10" applyNumberFormat="1" applyFont="1" applyBorder="1" applyAlignment="1">
      <alignment horizontal="center"/>
    </xf>
    <xf numFmtId="0" fontId="34" fillId="0" borderId="21" xfId="10" applyFont="1" applyBorder="1"/>
    <xf numFmtId="0" fontId="39" fillId="0" borderId="0" xfId="10" applyFont="1"/>
    <xf numFmtId="2" fontId="40" fillId="16" borderId="3" xfId="10" applyNumberFormat="1" applyFont="1" applyFill="1" applyBorder="1" applyAlignment="1">
      <alignment horizontal="center"/>
    </xf>
    <xf numFmtId="0" fontId="40" fillId="16" borderId="3" xfId="10" applyFont="1" applyFill="1" applyBorder="1" applyAlignment="1">
      <alignment horizontal="center"/>
    </xf>
    <xf numFmtId="0" fontId="41" fillId="0" borderId="0" xfId="10" applyFont="1"/>
    <xf numFmtId="2" fontId="6" fillId="0" borderId="0" xfId="10" applyNumberFormat="1" applyFont="1" applyAlignment="1">
      <alignment horizontal="center"/>
    </xf>
    <xf numFmtId="0" fontId="6" fillId="0" borderId="0" xfId="10" applyFont="1"/>
    <xf numFmtId="0" fontId="5" fillId="0" borderId="0" xfId="11"/>
    <xf numFmtId="168" fontId="5" fillId="0" borderId="0" xfId="11" applyNumberFormat="1"/>
    <xf numFmtId="0" fontId="5" fillId="0" borderId="22" xfId="11" applyBorder="1"/>
    <xf numFmtId="0" fontId="5" fillId="18" borderId="4" xfId="11" applyFill="1" applyBorder="1"/>
    <xf numFmtId="0" fontId="5" fillId="18" borderId="13" xfId="11" applyFill="1" applyBorder="1"/>
    <xf numFmtId="0" fontId="5" fillId="18" borderId="6" xfId="11" applyFill="1" applyBorder="1"/>
    <xf numFmtId="0" fontId="5" fillId="18" borderId="14" xfId="11" applyFill="1" applyBorder="1"/>
    <xf numFmtId="0" fontId="9" fillId="18" borderId="6" xfId="11" applyFont="1" applyFill="1" applyBorder="1"/>
    <xf numFmtId="0" fontId="9" fillId="18" borderId="14" xfId="11" applyFont="1" applyFill="1" applyBorder="1"/>
    <xf numFmtId="0" fontId="5" fillId="0" borderId="23" xfId="11" applyBorder="1"/>
    <xf numFmtId="0" fontId="9" fillId="18" borderId="10" xfId="11" applyFont="1" applyFill="1" applyBorder="1"/>
    <xf numFmtId="0" fontId="9" fillId="18" borderId="3" xfId="11" applyFont="1" applyFill="1" applyBorder="1"/>
    <xf numFmtId="0" fontId="42" fillId="0" borderId="0" xfId="11" applyFont="1"/>
    <xf numFmtId="166" fontId="5" fillId="0" borderId="0" xfId="12" applyFont="1"/>
    <xf numFmtId="14" fontId="21" fillId="0" borderId="0" xfId="11" applyNumberFormat="1" applyFont="1"/>
    <xf numFmtId="0" fontId="43" fillId="0" borderId="0" xfId="10" applyFont="1"/>
    <xf numFmtId="0" fontId="43" fillId="0" borderId="3" xfId="10" applyFont="1" applyBorder="1" applyAlignment="1">
      <alignment horizontal="center"/>
    </xf>
    <xf numFmtId="0" fontId="43" fillId="0" borderId="0" xfId="10" applyFont="1" applyAlignment="1">
      <alignment horizontal="center"/>
    </xf>
    <xf numFmtId="0" fontId="43" fillId="14" borderId="21" xfId="10" applyFont="1" applyFill="1" applyBorder="1"/>
    <xf numFmtId="0" fontId="44" fillId="0" borderId="0" xfId="10" applyFont="1" applyAlignment="1">
      <alignment horizontal="right"/>
    </xf>
    <xf numFmtId="0" fontId="45" fillId="0" borderId="0" xfId="10" applyFont="1"/>
    <xf numFmtId="0" fontId="6" fillId="0" borderId="0" xfId="11" applyFont="1"/>
    <xf numFmtId="0" fontId="45" fillId="14" borderId="24" xfId="10" applyFont="1" applyFill="1" applyBorder="1"/>
    <xf numFmtId="0" fontId="45" fillId="14" borderId="25" xfId="10" applyFont="1" applyFill="1" applyBorder="1"/>
    <xf numFmtId="0" fontId="43" fillId="15" borderId="12" xfId="10" applyFont="1" applyFill="1" applyBorder="1" applyAlignment="1">
      <alignment wrapText="1"/>
    </xf>
    <xf numFmtId="0" fontId="45" fillId="14" borderId="26" xfId="10" applyFont="1" applyFill="1" applyBorder="1"/>
    <xf numFmtId="0" fontId="45" fillId="15" borderId="15" xfId="10" applyFont="1" applyFill="1" applyBorder="1"/>
    <xf numFmtId="0" fontId="45" fillId="15" borderId="27" xfId="10" applyFont="1" applyFill="1" applyBorder="1"/>
    <xf numFmtId="0" fontId="45" fillId="15" borderId="16" xfId="10" applyFont="1" applyFill="1" applyBorder="1" applyAlignment="1">
      <alignment horizontal="right"/>
    </xf>
    <xf numFmtId="1" fontId="45" fillId="15" borderId="19" xfId="10" applyNumberFormat="1" applyFont="1" applyFill="1" applyBorder="1"/>
    <xf numFmtId="1" fontId="45" fillId="15" borderId="28" xfId="10" applyNumberFormat="1" applyFont="1" applyFill="1" applyBorder="1"/>
    <xf numFmtId="0" fontId="45" fillId="15" borderId="20" xfId="10" applyFont="1" applyFill="1" applyBorder="1" applyAlignment="1">
      <alignment horizontal="right"/>
    </xf>
    <xf numFmtId="0" fontId="45" fillId="0" borderId="0" xfId="10" applyFont="1" applyAlignment="1">
      <alignment horizontal="right"/>
    </xf>
    <xf numFmtId="0" fontId="45" fillId="15" borderId="17" xfId="10" applyFont="1" applyFill="1" applyBorder="1"/>
    <xf numFmtId="0" fontId="45" fillId="15" borderId="3" xfId="10" applyFont="1" applyFill="1" applyBorder="1"/>
    <xf numFmtId="0" fontId="45" fillId="15" borderId="18" xfId="10" applyFont="1" applyFill="1" applyBorder="1" applyAlignment="1">
      <alignment horizontal="right"/>
    </xf>
    <xf numFmtId="0" fontId="45" fillId="15" borderId="19" xfId="10" applyFont="1" applyFill="1" applyBorder="1"/>
    <xf numFmtId="0" fontId="45" fillId="15" borderId="28" xfId="10" applyFont="1" applyFill="1" applyBorder="1"/>
    <xf numFmtId="0" fontId="38" fillId="19" borderId="20" xfId="8" applyFont="1" applyFill="1" applyBorder="1" applyAlignment="1">
      <alignment horizontal="center"/>
    </xf>
    <xf numFmtId="0" fontId="38" fillId="19" borderId="28" xfId="8" applyFont="1" applyFill="1" applyBorder="1" applyAlignment="1">
      <alignment horizontal="center"/>
    </xf>
    <xf numFmtId="0" fontId="38" fillId="19" borderId="19" xfId="8" applyFont="1" applyFill="1" applyBorder="1" applyAlignment="1">
      <alignment horizontal="center"/>
    </xf>
    <xf numFmtId="0" fontId="44" fillId="20" borderId="18" xfId="8" applyFont="1" applyFill="1" applyBorder="1"/>
    <xf numFmtId="0" fontId="46" fillId="20" borderId="3" xfId="8" applyFont="1" applyFill="1" applyBorder="1"/>
    <xf numFmtId="0" fontId="46" fillId="20" borderId="17" xfId="8" applyFont="1" applyFill="1" applyBorder="1"/>
    <xf numFmtId="0" fontId="47" fillId="0" borderId="0" xfId="9" applyFont="1"/>
    <xf numFmtId="0" fontId="44" fillId="21" borderId="18" xfId="8" applyFont="1" applyFill="1" applyBorder="1"/>
    <xf numFmtId="0" fontId="46" fillId="21" borderId="3" xfId="8" applyFont="1" applyFill="1" applyBorder="1"/>
    <xf numFmtId="0" fontId="46" fillId="21" borderId="17" xfId="8" applyFont="1" applyFill="1" applyBorder="1"/>
    <xf numFmtId="0" fontId="44" fillId="21" borderId="16" xfId="8" applyFont="1" applyFill="1" applyBorder="1"/>
    <xf numFmtId="0" fontId="46" fillId="21" borderId="27" xfId="8" applyFont="1" applyFill="1" applyBorder="1"/>
    <xf numFmtId="0" fontId="46" fillId="21" borderId="15" xfId="8" applyFont="1" applyFill="1" applyBorder="1"/>
    <xf numFmtId="0" fontId="48" fillId="19" borderId="20" xfId="8" applyFont="1" applyFill="1" applyBorder="1" applyAlignment="1">
      <alignment horizontal="left"/>
    </xf>
    <xf numFmtId="0" fontId="48" fillId="19" borderId="28" xfId="8" applyFont="1" applyFill="1" applyBorder="1" applyAlignment="1">
      <alignment horizontal="left"/>
    </xf>
    <xf numFmtId="0" fontId="48" fillId="19" borderId="28" xfId="8" applyFont="1" applyFill="1" applyBorder="1" applyAlignment="1">
      <alignment horizontal="center"/>
    </xf>
    <xf numFmtId="0" fontId="48" fillId="19" borderId="19" xfId="8" applyFont="1" applyFill="1" applyBorder="1" applyAlignment="1">
      <alignment horizontal="center"/>
    </xf>
    <xf numFmtId="0" fontId="45" fillId="20" borderId="18" xfId="8" applyFont="1" applyFill="1" applyBorder="1" applyAlignment="1">
      <alignment horizontal="left"/>
    </xf>
    <xf numFmtId="0" fontId="45" fillId="20" borderId="3" xfId="8" applyFont="1" applyFill="1" applyBorder="1" applyAlignment="1">
      <alignment horizontal="left"/>
    </xf>
    <xf numFmtId="2" fontId="45" fillId="20" borderId="3" xfId="8" applyNumberFormat="1" applyFont="1" applyFill="1" applyBorder="1"/>
    <xf numFmtId="2" fontId="45" fillId="20" borderId="17" xfId="8" applyNumberFormat="1" applyFont="1" applyFill="1" applyBorder="1"/>
    <xf numFmtId="0" fontId="45" fillId="21" borderId="18" xfId="8" applyFont="1" applyFill="1" applyBorder="1" applyAlignment="1">
      <alignment horizontal="left"/>
    </xf>
    <xf numFmtId="0" fontId="45" fillId="21" borderId="3" xfId="8" applyFont="1" applyFill="1" applyBorder="1" applyAlignment="1">
      <alignment horizontal="left"/>
    </xf>
    <xf numFmtId="2" fontId="45" fillId="21" borderId="3" xfId="8" applyNumberFormat="1" applyFont="1" applyFill="1" applyBorder="1"/>
    <xf numFmtId="2" fontId="45" fillId="21" borderId="17" xfId="8" applyNumberFormat="1" applyFont="1" applyFill="1" applyBorder="1"/>
    <xf numFmtId="0" fontId="45" fillId="20" borderId="16" xfId="8" applyFont="1" applyFill="1" applyBorder="1" applyAlignment="1">
      <alignment horizontal="left"/>
    </xf>
    <xf numFmtId="0" fontId="45" fillId="20" borderId="27" xfId="8" applyFont="1" applyFill="1" applyBorder="1" applyAlignment="1">
      <alignment horizontal="left"/>
    </xf>
    <xf numFmtId="2" fontId="45" fillId="20" borderId="27" xfId="8" applyNumberFormat="1" applyFont="1" applyFill="1" applyBorder="1"/>
    <xf numFmtId="2" fontId="45" fillId="20" borderId="15" xfId="8" applyNumberFormat="1" applyFont="1" applyFill="1" applyBorder="1"/>
    <xf numFmtId="0" fontId="30" fillId="22" borderId="0" xfId="8" applyFont="1" applyFill="1" applyAlignment="1">
      <alignment horizontal="center"/>
    </xf>
    <xf numFmtId="0" fontId="44" fillId="23" borderId="3" xfId="8" applyFont="1" applyFill="1" applyBorder="1" applyAlignment="1">
      <alignment horizontal="center"/>
    </xf>
    <xf numFmtId="0" fontId="6" fillId="0" borderId="0" xfId="8" applyFont="1"/>
    <xf numFmtId="0" fontId="9" fillId="0" borderId="0" xfId="8" applyAlignment="1">
      <alignment horizontal="center"/>
    </xf>
    <xf numFmtId="0" fontId="30" fillId="17" borderId="29" xfId="10" applyFont="1" applyFill="1" applyBorder="1" applyAlignment="1">
      <alignment horizontal="center"/>
    </xf>
    <xf numFmtId="0" fontId="30" fillId="17" borderId="30" xfId="10" applyFont="1" applyFill="1" applyBorder="1" applyAlignment="1">
      <alignment horizontal="center"/>
    </xf>
    <xf numFmtId="0" fontId="30" fillId="17" borderId="31" xfId="10" applyFont="1" applyFill="1" applyBorder="1" applyAlignment="1">
      <alignment horizontal="center"/>
    </xf>
    <xf numFmtId="0" fontId="38" fillId="16" borderId="32" xfId="10" applyFont="1" applyFill="1" applyBorder="1"/>
    <xf numFmtId="0" fontId="38" fillId="16" borderId="33" xfId="10" applyFont="1" applyFill="1" applyBorder="1" applyAlignment="1">
      <alignment horizontal="center"/>
    </xf>
    <xf numFmtId="0" fontId="38" fillId="16" borderId="34" xfId="10" applyFont="1" applyFill="1" applyBorder="1" applyAlignment="1">
      <alignment horizontal="center"/>
    </xf>
    <xf numFmtId="0" fontId="38" fillId="16" borderId="35" xfId="10" applyFont="1" applyFill="1" applyBorder="1"/>
    <xf numFmtId="0" fontId="38" fillId="16" borderId="36" xfId="10" applyFont="1" applyFill="1" applyBorder="1" applyAlignment="1">
      <alignment horizontal="center"/>
    </xf>
    <xf numFmtId="0" fontId="38" fillId="16" borderId="37" xfId="10" applyFont="1" applyFill="1" applyBorder="1" applyAlignment="1">
      <alignment horizontal="center"/>
    </xf>
    <xf numFmtId="0" fontId="7" fillId="14" borderId="3" xfId="4" applyFont="1" applyFill="1" applyBorder="1" applyAlignment="1">
      <alignment horizontal="right"/>
    </xf>
    <xf numFmtId="0" fontId="7" fillId="18" borderId="3" xfId="4" applyFont="1" applyFill="1" applyBorder="1" applyAlignment="1">
      <alignment horizontal="right"/>
    </xf>
    <xf numFmtId="169" fontId="7" fillId="14" borderId="3" xfId="4" applyNumberFormat="1" applyFont="1" applyFill="1" applyBorder="1"/>
    <xf numFmtId="0" fontId="7" fillId="0" borderId="3" xfId="4" applyFont="1" applyBorder="1"/>
    <xf numFmtId="43" fontId="7" fillId="14" borderId="3" xfId="4" applyNumberFormat="1" applyFont="1" applyFill="1" applyBorder="1"/>
    <xf numFmtId="0" fontId="27" fillId="17" borderId="3" xfId="4" applyFont="1" applyFill="1" applyBorder="1" applyAlignment="1">
      <alignment horizontal="center"/>
    </xf>
    <xf numFmtId="0" fontId="49" fillId="16" borderId="3" xfId="4" applyFont="1" applyFill="1" applyBorder="1" applyAlignment="1">
      <alignment horizontal="center"/>
    </xf>
    <xf numFmtId="0" fontId="5" fillId="0" borderId="0" xfId="4" applyAlignment="1">
      <alignment horizontal="center"/>
    </xf>
    <xf numFmtId="0" fontId="21" fillId="24" borderId="20" xfId="4" applyFont="1" applyFill="1" applyBorder="1"/>
    <xf numFmtId="0" fontId="21" fillId="24" borderId="28" xfId="4" applyFont="1" applyFill="1" applyBorder="1"/>
    <xf numFmtId="0" fontId="21" fillId="0" borderId="18" xfId="4" applyFont="1" applyBorder="1"/>
    <xf numFmtId="0" fontId="21" fillId="0" borderId="3" xfId="4" applyFont="1" applyBorder="1"/>
    <xf numFmtId="0" fontId="21" fillId="0" borderId="16" xfId="4" applyFont="1" applyBorder="1"/>
    <xf numFmtId="0" fontId="21" fillId="0" borderId="27" xfId="4" applyFont="1" applyBorder="1"/>
    <xf numFmtId="0" fontId="50" fillId="0" borderId="0" xfId="11" applyFont="1"/>
    <xf numFmtId="0" fontId="50" fillId="0" borderId="0" xfId="11" applyFont="1" applyAlignment="1">
      <alignment horizontal="center"/>
    </xf>
    <xf numFmtId="0" fontId="50" fillId="0" borderId="0" xfId="11" applyFont="1" applyAlignment="1">
      <alignment wrapText="1"/>
    </xf>
    <xf numFmtId="0" fontId="35" fillId="0" borderId="0" xfId="11" applyFont="1" applyAlignment="1">
      <alignment horizontal="center" wrapText="1"/>
    </xf>
    <xf numFmtId="0" fontId="39" fillId="0" borderId="0" xfId="11" applyFont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45" xfId="0" pivotButton="1" applyBorder="1"/>
    <xf numFmtId="0" fontId="0" fillId="0" borderId="46" xfId="0" applyBorder="1"/>
    <xf numFmtId="0" fontId="0" fillId="0" borderId="47" xfId="0" applyBorder="1"/>
    <xf numFmtId="0" fontId="8" fillId="3" borderId="0" xfId="3" applyFont="1" applyBorder="1" applyAlignment="1"/>
    <xf numFmtId="0" fontId="13" fillId="3" borderId="0" xfId="3" applyFont="1" applyAlignment="1">
      <alignment horizontal="center"/>
    </xf>
    <xf numFmtId="0" fontId="2" fillId="0" borderId="0" xfId="1" applyBorder="1" applyAlignment="1">
      <alignment horizontal="center"/>
    </xf>
    <xf numFmtId="0" fontId="21" fillId="0" borderId="0" xfId="4" applyFont="1" applyAlignment="1">
      <alignment horizontal="center"/>
    </xf>
    <xf numFmtId="0" fontId="51" fillId="0" borderId="0" xfId="1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3">
    <cellStyle name="Accent2" xfId="2" builtinId="33"/>
    <cellStyle name="Accent6" xfId="3" builtinId="49"/>
    <cellStyle name="Currency 2" xfId="5" xr:uid="{00000000-0005-0000-0000-000002000000}"/>
    <cellStyle name="Currency 2 2" xfId="7" xr:uid="{00000000-0005-0000-0000-000003000000}"/>
    <cellStyle name="Currency 3" xfId="12" xr:uid="{00000000-0005-0000-0000-000004000000}"/>
    <cellStyle name="Heading 1" xfId="1" builtinId="16"/>
    <cellStyle name="Hyperlink" xfId="9" builtinId="8"/>
    <cellStyle name="Normal" xfId="0" builtinId="0"/>
    <cellStyle name="Normal 2" xfId="8" xr:uid="{00000000-0005-0000-0000-000008000000}"/>
    <cellStyle name="Normal 2 2" xfId="11" xr:uid="{00000000-0005-0000-0000-000009000000}"/>
    <cellStyle name="Normal 3" xfId="10" xr:uid="{00000000-0005-0000-0000-00000A000000}"/>
    <cellStyle name="Normal 4" xfId="4" xr:uid="{00000000-0005-0000-0000-00000B000000}"/>
    <cellStyle name="Percent 4" xfId="6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pivotCacheDefinition" Target="pivotCache/pivotCacheDefinition1.xml"/><Relationship Id="rId58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customXml" Target="../customXml/item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externalLink" Target="externalLinks/externalLink2.xml"/><Relationship Id="rId6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817955889723019"/>
          <c:y val="0.13333400107172011"/>
          <c:w val="0.7071249215721388"/>
          <c:h val="0.6359006204958959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'Changing Chart Types'!$B$4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'Changing Chart Types'!$C$3:$E$3</c:f>
              <c:strCache>
                <c:ptCount val="3"/>
                <c:pt idx="0">
                  <c:v>Sales 2007</c:v>
                </c:pt>
                <c:pt idx="1">
                  <c:v>Sales 2008</c:v>
                </c:pt>
                <c:pt idx="2">
                  <c:v>Sales 2009</c:v>
                </c:pt>
              </c:strCache>
            </c:strRef>
          </c:cat>
          <c:val>
            <c:numRef>
              <c:f>'Changing Chart Types'!$C$4:$E$4</c:f>
              <c:numCache>
                <c:formatCode>General</c:formatCode>
                <c:ptCount val="3"/>
                <c:pt idx="0">
                  <c:v>19</c:v>
                </c:pt>
                <c:pt idx="1">
                  <c:v>25</c:v>
                </c:pt>
                <c:pt idx="2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3B-4F76-BEC1-82B4C0141DC7}"/>
            </c:ext>
          </c:extLst>
        </c:ser>
        <c:ser>
          <c:idx val="1"/>
          <c:order val="1"/>
          <c:tx>
            <c:strRef>
              <c:f>'Changing Chart Types'!$B$5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'Changing Chart Types'!$C$3:$E$3</c:f>
              <c:strCache>
                <c:ptCount val="3"/>
                <c:pt idx="0">
                  <c:v>Sales 2007</c:v>
                </c:pt>
                <c:pt idx="1">
                  <c:v>Sales 2008</c:v>
                </c:pt>
                <c:pt idx="2">
                  <c:v>Sales 2009</c:v>
                </c:pt>
              </c:strCache>
            </c:strRef>
          </c:cat>
          <c:val>
            <c:numRef>
              <c:f>'Changing Chart Types'!$C$5:$E$5</c:f>
              <c:numCache>
                <c:formatCode>General</c:formatCode>
                <c:ptCount val="3"/>
                <c:pt idx="0">
                  <c:v>23</c:v>
                </c:pt>
                <c:pt idx="1">
                  <c:v>27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3B-4F76-BEC1-82B4C0141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290496"/>
        <c:axId val="139292032"/>
      </c:barChart>
      <c:catAx>
        <c:axId val="139290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MT"/>
          </a:p>
        </c:txPr>
        <c:crossAx val="1392920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92920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MT"/>
          </a:p>
        </c:txPr>
        <c:crossAx val="13929049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4432826456374788"/>
          <c:y val="0.34359146430020182"/>
          <c:w val="0.13456481716484731"/>
          <c:h val="0.2205139248493832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MT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MT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AU"/>
              <a:t>Regional Sales</a:t>
            </a:r>
          </a:p>
        </c:rich>
      </c:tx>
      <c:layout>
        <c:manualLayout>
          <c:xMode val="edge"/>
          <c:yMode val="edge"/>
          <c:x val="0.37755139663524057"/>
          <c:y val="3.73135008189657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3673552767810078E-2"/>
          <c:y val="0.2425377553232774"/>
          <c:w val="0.66734760378229008"/>
          <c:h val="0.5895533129396588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'Moving Chart Titles'!$C$3</c:f>
              <c:strCache>
                <c:ptCount val="1"/>
                <c:pt idx="0">
                  <c:v>Sales for 2008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'Moving Chart Titles'!$B$4:$B$7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</c:strCache>
            </c:strRef>
          </c:cat>
          <c:val>
            <c:numRef>
              <c:f>'Moving Chart Titles'!$C$4:$C$7</c:f>
              <c:numCache>
                <c:formatCode>General</c:formatCode>
                <c:ptCount val="4"/>
                <c:pt idx="0">
                  <c:v>25</c:v>
                </c:pt>
                <c:pt idx="1">
                  <c:v>35</c:v>
                </c:pt>
                <c:pt idx="2">
                  <c:v>26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12-4D4C-AE3B-86D9935AD330}"/>
            </c:ext>
          </c:extLst>
        </c:ser>
        <c:ser>
          <c:idx val="1"/>
          <c:order val="1"/>
          <c:tx>
            <c:strRef>
              <c:f>'Moving Chart Titles'!$D$3</c:f>
              <c:strCache>
                <c:ptCount val="1"/>
                <c:pt idx="0">
                  <c:v>Sales for 2009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'Moving Chart Titles'!$B$4:$B$7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</c:strCache>
            </c:strRef>
          </c:cat>
          <c:val>
            <c:numRef>
              <c:f>'Moving Chart Titles'!$D$4:$D$7</c:f>
              <c:numCache>
                <c:formatCode>General</c:formatCode>
                <c:ptCount val="4"/>
                <c:pt idx="0">
                  <c:v>12</c:v>
                </c:pt>
                <c:pt idx="1">
                  <c:v>28</c:v>
                </c:pt>
                <c:pt idx="2">
                  <c:v>31</c:v>
                </c:pt>
                <c:pt idx="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12-4D4C-AE3B-86D9935AD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842304"/>
        <c:axId val="139843840"/>
      </c:barChart>
      <c:catAx>
        <c:axId val="139842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MT"/>
          </a:p>
        </c:txPr>
        <c:crossAx val="1398438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98438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MT"/>
          </a:p>
        </c:txPr>
        <c:crossAx val="13984230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7347015851219558"/>
          <c:y val="0.45895606007327877"/>
          <c:w val="0.21020429109962044"/>
          <c:h val="0.1604480535215527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MT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MT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AU"/>
              <a:t>Regional Sales</a:t>
            </a:r>
          </a:p>
        </c:rich>
      </c:tx>
      <c:layout>
        <c:manualLayout>
          <c:xMode val="edge"/>
          <c:yMode val="edge"/>
          <c:x val="0.37755139663524057"/>
          <c:y val="3.73135008189657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3673552767810078E-2"/>
          <c:y val="0.2425377553232774"/>
          <c:w val="0.66734760378229008"/>
          <c:h val="0.5895533129396588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'Moving Chart Legends'!$C$3</c:f>
              <c:strCache>
                <c:ptCount val="1"/>
                <c:pt idx="0">
                  <c:v>Sales for 2008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'Moving Chart Legends'!$B$4:$B$7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</c:strCache>
            </c:strRef>
          </c:cat>
          <c:val>
            <c:numRef>
              <c:f>'Moving Chart Legends'!$C$4:$C$7</c:f>
              <c:numCache>
                <c:formatCode>General</c:formatCode>
                <c:ptCount val="4"/>
                <c:pt idx="0">
                  <c:v>25</c:v>
                </c:pt>
                <c:pt idx="1">
                  <c:v>35</c:v>
                </c:pt>
                <c:pt idx="2">
                  <c:v>26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C4-479C-82CD-4A583C8B40F0}"/>
            </c:ext>
          </c:extLst>
        </c:ser>
        <c:ser>
          <c:idx val="1"/>
          <c:order val="1"/>
          <c:tx>
            <c:strRef>
              <c:f>'Moving Chart Legends'!$D$3</c:f>
              <c:strCache>
                <c:ptCount val="1"/>
                <c:pt idx="0">
                  <c:v>Sales for 2009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'Moving Chart Legends'!$B$4:$B$7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</c:strCache>
            </c:strRef>
          </c:cat>
          <c:val>
            <c:numRef>
              <c:f>'Moving Chart Legends'!$D$4:$D$7</c:f>
              <c:numCache>
                <c:formatCode>General</c:formatCode>
                <c:ptCount val="4"/>
                <c:pt idx="0">
                  <c:v>12</c:v>
                </c:pt>
                <c:pt idx="1">
                  <c:v>28</c:v>
                </c:pt>
                <c:pt idx="2">
                  <c:v>31</c:v>
                </c:pt>
                <c:pt idx="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C4-479C-82CD-4A583C8B40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967872"/>
        <c:axId val="139973760"/>
      </c:barChart>
      <c:catAx>
        <c:axId val="139967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MT"/>
          </a:p>
        </c:txPr>
        <c:crossAx val="1399737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99737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MT"/>
          </a:p>
        </c:txPr>
        <c:crossAx val="13996787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7347015851219558"/>
          <c:y val="0.45895606007327877"/>
          <c:w val="0.21020429109962044"/>
          <c:h val="0.1604480535215527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MT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MT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AU"/>
              <a:t>Regional Sales</a:t>
            </a:r>
          </a:p>
        </c:rich>
      </c:tx>
      <c:layout>
        <c:manualLayout>
          <c:xMode val="edge"/>
          <c:yMode val="edge"/>
          <c:x val="0.37755139663524057"/>
          <c:y val="3.73135008189657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3673552767810078E-2"/>
          <c:y val="0.2425377553232774"/>
          <c:w val="0.7795926135927671"/>
          <c:h val="0.5895533129396588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'Moving Data Labels'!$C$3</c:f>
              <c:strCache>
                <c:ptCount val="1"/>
                <c:pt idx="0">
                  <c:v>2008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M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'Moving Data Labels'!$B$4:$B$7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</c:strCache>
            </c:strRef>
          </c:cat>
          <c:val>
            <c:numRef>
              <c:f>'Moving Data Labels'!$C$4:$C$7</c:f>
              <c:numCache>
                <c:formatCode>General</c:formatCode>
                <c:ptCount val="4"/>
                <c:pt idx="0">
                  <c:v>25</c:v>
                </c:pt>
                <c:pt idx="1">
                  <c:v>35</c:v>
                </c:pt>
                <c:pt idx="2">
                  <c:v>26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B5-4721-AD7E-B2860C4F77F1}"/>
            </c:ext>
          </c:extLst>
        </c:ser>
        <c:ser>
          <c:idx val="1"/>
          <c:order val="1"/>
          <c:tx>
            <c:strRef>
              <c:f>'Moving Data Labels'!$D$3</c:f>
              <c:strCache>
                <c:ptCount val="1"/>
                <c:pt idx="0">
                  <c:v>2009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M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'Moving Data Labels'!$B$4:$B$7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</c:strCache>
            </c:strRef>
          </c:cat>
          <c:val>
            <c:numRef>
              <c:f>'Moving Data Labels'!$D$4:$D$7</c:f>
              <c:numCache>
                <c:formatCode>General</c:formatCode>
                <c:ptCount val="4"/>
                <c:pt idx="0">
                  <c:v>12</c:v>
                </c:pt>
                <c:pt idx="1">
                  <c:v>28</c:v>
                </c:pt>
                <c:pt idx="2">
                  <c:v>31</c:v>
                </c:pt>
                <c:pt idx="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B5-4721-AD7E-B2860C4F77F1}"/>
            </c:ext>
          </c:extLst>
        </c:ser>
        <c:dLbls>
          <c:showLegendKey val="0"/>
          <c:showVal val="0"/>
          <c:showCatName val="0"/>
          <c:showSerName val="1"/>
          <c:showPercent val="0"/>
          <c:showBubbleSize val="0"/>
        </c:dLbls>
        <c:gapWidth val="150"/>
        <c:axId val="165548032"/>
        <c:axId val="165549568"/>
      </c:barChart>
      <c:catAx>
        <c:axId val="165548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MT"/>
          </a:p>
        </c:txPr>
        <c:crossAx val="1655495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655495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MT"/>
          </a:p>
        </c:txPr>
        <c:crossAx val="16554803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857151683226725"/>
          <c:y val="0.45895606007327877"/>
          <c:w val="9.795928128914351E-2"/>
          <c:h val="0.1604480535215527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MT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MT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2334530785988866"/>
          <c:y val="3.80623480454355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75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MT"/>
        </a:p>
      </c:txPr>
    </c:title>
    <c:autoTitleDeleted val="0"/>
    <c:plotArea>
      <c:layout>
        <c:manualLayout>
          <c:layoutTarget val="inner"/>
          <c:xMode val="edge"/>
          <c:yMode val="edge"/>
          <c:x val="0.13763077909848234"/>
          <c:y val="0.15916981909909422"/>
          <c:w val="0.6811852484494505"/>
          <c:h val="0.59515671489226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Axis Scale'!$C$4</c:f>
              <c:strCache>
                <c:ptCount val="1"/>
                <c:pt idx="0">
                  <c:v>Sales 2009</c:v>
                </c:pt>
              </c:strCache>
            </c:strRef>
          </c:tx>
          <c:spPr>
            <a:solidFill>
              <a:srgbClr val="000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'Chart Axis Scale'!$B$5:$B$8</c:f>
              <c:strCache>
                <c:ptCount val="4"/>
                <c:pt idx="0">
                  <c:v> North </c:v>
                </c:pt>
                <c:pt idx="1">
                  <c:v> South </c:v>
                </c:pt>
                <c:pt idx="2">
                  <c:v> East </c:v>
                </c:pt>
                <c:pt idx="3">
                  <c:v> West </c:v>
                </c:pt>
              </c:strCache>
            </c:strRef>
          </c:cat>
          <c:val>
            <c:numRef>
              <c:f>'Chart Axis Scale'!$C$5:$C$8</c:f>
              <c:numCache>
                <c:formatCode>General</c:formatCode>
                <c:ptCount val="4"/>
                <c:pt idx="0">
                  <c:v>289</c:v>
                </c:pt>
                <c:pt idx="1">
                  <c:v>218</c:v>
                </c:pt>
                <c:pt idx="2">
                  <c:v>278</c:v>
                </c:pt>
                <c:pt idx="3">
                  <c:v>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0D-4416-9B68-06DE30295C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5586816"/>
        <c:axId val="165588352"/>
      </c:barChart>
      <c:catAx>
        <c:axId val="165586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MT"/>
          </a:p>
        </c:txPr>
        <c:crossAx val="1655883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655883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MT"/>
          </a:p>
        </c:txPr>
        <c:crossAx val="1655868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139440994053002"/>
          <c:y val="0.4878900976733106"/>
          <c:w val="0.18466914663846995"/>
          <c:h val="8.650533646689903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8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M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MT"/>
    </a:p>
  </c:txPr>
  <c:printSettings>
    <c:headerFooter alignWithMargins="0"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2886263986010514"/>
          <c:y val="3.7878927996744777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MT"/>
        </a:p>
      </c:txPr>
    </c:title>
    <c:autoTitleDeleted val="0"/>
    <c:plotArea>
      <c:layout>
        <c:manualLayout>
          <c:layoutTarget val="inner"/>
          <c:xMode val="edge"/>
          <c:yMode val="edge"/>
          <c:x val="0.17682961927881113"/>
          <c:y val="0.15151571198697911"/>
          <c:w val="0.64024517325086794"/>
          <c:h val="0.606062847947916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Axis Units'!$C$4</c:f>
              <c:strCache>
                <c:ptCount val="1"/>
                <c:pt idx="0">
                  <c:v>Sales 2009</c:v>
                </c:pt>
              </c:strCache>
            </c:strRef>
          </c:tx>
          <c:spPr>
            <a:solidFill>
              <a:srgbClr val="33CC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'Chart Axis Units'!$B$5:$B$8</c:f>
              <c:strCache>
                <c:ptCount val="4"/>
                <c:pt idx="0">
                  <c:v> North </c:v>
                </c:pt>
                <c:pt idx="1">
                  <c:v> South </c:v>
                </c:pt>
                <c:pt idx="2">
                  <c:v> East </c:v>
                </c:pt>
                <c:pt idx="3">
                  <c:v> West </c:v>
                </c:pt>
              </c:strCache>
            </c:strRef>
          </c:cat>
          <c:val>
            <c:numRef>
              <c:f>'Chart Axis Units'!$C$5:$C$8</c:f>
              <c:numCache>
                <c:formatCode>General</c:formatCode>
                <c:ptCount val="4"/>
                <c:pt idx="0">
                  <c:v>250000</c:v>
                </c:pt>
                <c:pt idx="1">
                  <c:v>100000</c:v>
                </c:pt>
                <c:pt idx="2">
                  <c:v>200843</c:v>
                </c:pt>
                <c:pt idx="3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63-4BE4-AC60-C8862148FB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5907840"/>
        <c:axId val="165930112"/>
      </c:barChart>
      <c:catAx>
        <c:axId val="165907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MT"/>
          </a:p>
        </c:txPr>
        <c:crossAx val="1659301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6593011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MT"/>
          </a:p>
        </c:txPr>
        <c:crossAx val="165907840"/>
        <c:crosses val="autoZero"/>
        <c:crossBetween val="between"/>
      </c:valAx>
      <c:spPr>
        <a:solidFill>
          <a:srgbClr val="FFFFCC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429270506216188"/>
          <c:y val="0.46557029852237319"/>
          <c:w val="0.172764570559758"/>
          <c:h val="8.3333641592838514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MT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MT"/>
    </a:p>
  </c:txPr>
  <c:printSettings>
    <c:headerFooter alignWithMargins="0"/>
    <c:pageMargins b="1" l="0.75" r="0.75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5949959405749069"/>
          <c:y val="3.3898398598601359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8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MT"/>
        </a:p>
      </c:txPr>
    </c:title>
    <c:autoTitleDeleted val="0"/>
    <c:plotArea>
      <c:layout>
        <c:manualLayout>
          <c:layoutTarget val="inner"/>
          <c:xMode val="edge"/>
          <c:yMode val="edge"/>
          <c:x val="9.5729082095310558E-2"/>
          <c:y val="0.26271258913916051"/>
          <c:w val="0.75257786078005684"/>
          <c:h val="0.531074911378087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'Images In Column Chart'!$B$4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'Images In Column Chart'!$C$3:$E$3</c:f>
              <c:strCache>
                <c:ptCount val="3"/>
                <c:pt idx="0">
                  <c:v>Sales for 2007</c:v>
                </c:pt>
                <c:pt idx="1">
                  <c:v>Sales for 2008</c:v>
                </c:pt>
                <c:pt idx="2">
                  <c:v>Sales for 2009</c:v>
                </c:pt>
              </c:strCache>
            </c:strRef>
          </c:cat>
          <c:val>
            <c:numRef>
              <c:f>'Images In Column Chart'!$C$4:$E$4</c:f>
              <c:numCache>
                <c:formatCode>General</c:formatCode>
                <c:ptCount val="3"/>
                <c:pt idx="0">
                  <c:v>19</c:v>
                </c:pt>
                <c:pt idx="1">
                  <c:v>25</c:v>
                </c:pt>
                <c:pt idx="2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B5-403A-B61A-92A1DFF72E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5631488"/>
        <c:axId val="165633024"/>
      </c:barChart>
      <c:catAx>
        <c:axId val="165631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MT"/>
          </a:p>
        </c:txPr>
        <c:crossAx val="1656330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6563302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MT"/>
          </a:p>
        </c:txPr>
        <c:crossAx val="1656314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6450724907611221"/>
          <c:y val="0.47740244693030248"/>
          <c:w val="0.12371142916932441"/>
          <c:h val="0.1016951957958040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65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MT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MT"/>
    </a:p>
  </c:txPr>
  <c:printSettings>
    <c:headerFooter alignWithMargins="0"/>
    <c:pageMargins b="1" l="0.75" r="0.75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5412165122719678"/>
          <c:y val="3.076923076923077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2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MT"/>
        </a:p>
      </c:txPr>
    </c:title>
    <c:autoTitleDeleted val="0"/>
    <c:plotArea>
      <c:layout>
        <c:manualLayout>
          <c:layoutTarget val="inner"/>
          <c:xMode val="edge"/>
          <c:yMode val="edge"/>
          <c:x val="0.11041999053811975"/>
          <c:y val="0.12967032967032968"/>
          <c:w val="0.72472838860230715"/>
          <c:h val="0.760439560439560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'Images in Bar Chart'!$C$2</c:f>
              <c:strCache>
                <c:ptCount val="1"/>
                <c:pt idx="0">
                  <c:v>January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'Images in Bar Chart'!$B$3:$B$6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'Images in Bar Chart'!$C$3:$C$6</c:f>
              <c:numCache>
                <c:formatCode>General</c:formatCode>
                <c:ptCount val="4"/>
                <c:pt idx="0">
                  <c:v>6</c:v>
                </c:pt>
                <c:pt idx="1">
                  <c:v>3</c:v>
                </c:pt>
                <c:pt idx="2">
                  <c:v>6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AE-46D2-80AD-17CA5F3055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550080"/>
        <c:axId val="139572352"/>
      </c:barChart>
      <c:catAx>
        <c:axId val="1395500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MT"/>
          </a:p>
        </c:txPr>
        <c:crossAx val="1395723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9572352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MT"/>
          </a:p>
        </c:txPr>
        <c:crossAx val="1395500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6314217955854178"/>
          <c:y val="0.48351648351648352"/>
          <c:w val="0.1244168907471772"/>
          <c:h val="5.4945054945054944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MT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MT"/>
    </a:p>
  </c:txPr>
  <c:printSettings>
    <c:headerFooter alignWithMargins="0"/>
    <c:pageMargins b="1" l="0.75" r="0.75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5412165122719678"/>
          <c:y val="3.076923076923077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2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MT"/>
        </a:p>
      </c:txPr>
    </c:title>
    <c:autoTitleDeleted val="0"/>
    <c:plotArea>
      <c:layout>
        <c:manualLayout>
          <c:layoutTarget val="inner"/>
          <c:xMode val="edge"/>
          <c:yMode val="edge"/>
          <c:x val="0.11041999053811975"/>
          <c:y val="0.12967032967032968"/>
          <c:w val="0.72472838860230715"/>
          <c:h val="0.760439560439560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'Chart Plot Area Images'!$C$2</c:f>
              <c:strCache>
                <c:ptCount val="1"/>
                <c:pt idx="0">
                  <c:v>January</c:v>
                </c:pt>
              </c:strCache>
            </c:strRef>
          </c:tx>
          <c:spPr>
            <a:solidFill>
              <a:srgbClr val="000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'Chart Plot Area Images'!$B$3:$B$6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'Chart Plot Area Images'!$C$3:$C$6</c:f>
              <c:numCache>
                <c:formatCode>General</c:formatCode>
                <c:ptCount val="4"/>
                <c:pt idx="0">
                  <c:v>6</c:v>
                </c:pt>
                <c:pt idx="1">
                  <c:v>3</c:v>
                </c:pt>
                <c:pt idx="2">
                  <c:v>6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16-4576-A213-77B5F41BE8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5840384"/>
        <c:axId val="165841920"/>
      </c:barChart>
      <c:catAx>
        <c:axId val="1658403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MT"/>
          </a:p>
        </c:txPr>
        <c:crossAx val="1658419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65841920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MT"/>
          </a:p>
        </c:txPr>
        <c:crossAx val="165840384"/>
        <c:crosses val="autoZero"/>
        <c:crossBetween val="between"/>
      </c:valAx>
      <c:spPr>
        <a:blipFill>
          <a:blip xmlns:r="http://schemas.openxmlformats.org/officeDocument/2006/relationships" r:embed="rId1"/>
          <a:tile tx="0" ty="0" sx="100000" sy="100000" flip="none" algn="tl"/>
        </a:blip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6314217955854178"/>
          <c:y val="0.48351648351648352"/>
          <c:w val="0.1244168907471772"/>
          <c:h val="5.4945054945054944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MT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MT"/>
    </a:p>
  </c:txPr>
  <c:printSettings>
    <c:headerFooter alignWithMargins="0"/>
    <c:pageMargins b="1" l="0.75" r="0.75" t="1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5412165122719678"/>
          <c:y val="3.076923076923077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2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MT"/>
        </a:p>
      </c:txPr>
    </c:title>
    <c:autoTitleDeleted val="0"/>
    <c:plotArea>
      <c:layout>
        <c:manualLayout>
          <c:layoutTarget val="inner"/>
          <c:xMode val="edge"/>
          <c:yMode val="edge"/>
          <c:x val="0.11041999053811975"/>
          <c:y val="0.12967032967032968"/>
          <c:w val="0.72472838860230715"/>
          <c:h val="0.760439560439560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'Chart Area Images'!$C$2</c:f>
              <c:strCache>
                <c:ptCount val="1"/>
                <c:pt idx="0">
                  <c:v>January</c:v>
                </c:pt>
              </c:strCache>
            </c:strRef>
          </c:tx>
          <c:spPr>
            <a:solidFill>
              <a:srgbClr val="808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'Chart Area Images'!$B$3:$B$6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'Chart Area Images'!$C$3:$C$6</c:f>
              <c:numCache>
                <c:formatCode>General</c:formatCode>
                <c:ptCount val="4"/>
                <c:pt idx="0">
                  <c:v>6</c:v>
                </c:pt>
                <c:pt idx="1">
                  <c:v>3</c:v>
                </c:pt>
                <c:pt idx="2">
                  <c:v>6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07-4A69-9AFB-A00BE8494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6227328"/>
        <c:axId val="166249600"/>
      </c:barChart>
      <c:catAx>
        <c:axId val="16622732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MT"/>
          </a:p>
        </c:txPr>
        <c:crossAx val="1662496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66249600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MT"/>
          </a:p>
        </c:txPr>
        <c:crossAx val="16622732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6314217955854178"/>
          <c:y val="0.48351648351648352"/>
          <c:w val="0.1244168907471772"/>
          <c:h val="5.4945054945054944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MT"/>
        </a:p>
      </c:txPr>
    </c:legend>
    <c:plotVisOnly val="1"/>
    <c:dispBlanksAs val="gap"/>
    <c:showDLblsOverMax val="0"/>
  </c:chart>
  <c:spPr>
    <a:solidFill>
      <a:srgbClr val="00B0F0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MT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396240</xdr:colOff>
      <xdr:row>2</xdr:row>
      <xdr:rowOff>117188</xdr:rowOff>
    </xdr:from>
    <xdr:ext cx="2912070" cy="1663599"/>
    <xdr:pic>
      <xdr:nvPicPr>
        <xdr:cNvPr id="2" name="Picture 1">
          <a:extLst>
            <a:ext uri="{FF2B5EF4-FFF2-40B4-BE49-F238E27FC236}">
              <a16:creationId xmlns:a16="http://schemas.microsoft.com/office/drawing/2014/main" id="{514A8D85-AFBA-457C-8B79-2489B00C2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0760" y="482948"/>
          <a:ext cx="2912070" cy="1663599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695325</xdr:colOff>
      <xdr:row>11</xdr:row>
      <xdr:rowOff>0</xdr:rowOff>
    </xdr:from>
    <xdr:to>
      <xdr:col>16</xdr:col>
      <xdr:colOff>409575</xdr:colOff>
      <xdr:row>16</xdr:row>
      <xdr:rowOff>123825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3BB60311-7472-4007-B340-F671D88A1FFB}"/>
            </a:ext>
          </a:extLst>
        </xdr:cNvPr>
        <xdr:cNvSpPr txBox="1">
          <a:spLocks noChangeArrowheads="1"/>
        </xdr:cNvSpPr>
      </xdr:nvSpPr>
      <xdr:spPr bwMode="auto">
        <a:xfrm>
          <a:off x="8536305" y="2011680"/>
          <a:ext cx="1626870" cy="10382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Exercise 1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Create an "Adjusted Region" column created from a vlookup to the table on the sheet.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95250</xdr:rowOff>
    </xdr:from>
    <xdr:to>
      <xdr:col>3</xdr:col>
      <xdr:colOff>95250</xdr:colOff>
      <xdr:row>6</xdr:row>
      <xdr:rowOff>57150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AF2B9EB2-2B09-4668-98CE-1103B07E2FA5}"/>
            </a:ext>
          </a:extLst>
        </xdr:cNvPr>
        <xdr:cNvSpPr txBox="1">
          <a:spLocks noChangeArrowheads="1"/>
        </xdr:cNvSpPr>
      </xdr:nvSpPr>
      <xdr:spPr bwMode="auto">
        <a:xfrm>
          <a:off x="9525" y="95250"/>
          <a:ext cx="1914525" cy="105918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Exercise 1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Create an "Adjusted Region" column created from a vlookup to the table on the sheet.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419100</xdr:colOff>
      <xdr:row>8</xdr:row>
      <xdr:rowOff>152400</xdr:rowOff>
    </xdr:from>
    <xdr:to>
      <xdr:col>5</xdr:col>
      <xdr:colOff>304800</xdr:colOff>
      <xdr:row>20</xdr:row>
      <xdr:rowOff>66675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18C01A1A-ECDE-4CDB-B6B9-51A29511FC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504825</xdr:colOff>
      <xdr:row>8</xdr:row>
      <xdr:rowOff>47625</xdr:rowOff>
    </xdr:from>
    <xdr:to>
      <xdr:col>6</xdr:col>
      <xdr:colOff>342900</xdr:colOff>
      <xdr:row>24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953BC1D4-B930-49E8-BA49-574B24A292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504825</xdr:colOff>
      <xdr:row>8</xdr:row>
      <xdr:rowOff>47625</xdr:rowOff>
    </xdr:from>
    <xdr:to>
      <xdr:col>6</xdr:col>
      <xdr:colOff>342900</xdr:colOff>
      <xdr:row>24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3CD67A57-85DF-4661-AFAE-9EB96951A0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504825</xdr:colOff>
      <xdr:row>8</xdr:row>
      <xdr:rowOff>47625</xdr:rowOff>
    </xdr:from>
    <xdr:to>
      <xdr:col>6</xdr:col>
      <xdr:colOff>342900</xdr:colOff>
      <xdr:row>24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6BB7CD7E-9817-4136-AF4C-AC289E7441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171450</xdr:colOff>
      <xdr:row>1</xdr:row>
      <xdr:rowOff>95250</xdr:rowOff>
    </xdr:from>
    <xdr:to>
      <xdr:col>12</xdr:col>
      <xdr:colOff>152400</xdr:colOff>
      <xdr:row>17</xdr:row>
      <xdr:rowOff>66675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197CF6B-529F-408A-B7A3-EDCC222094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152399</xdr:colOff>
      <xdr:row>1</xdr:row>
      <xdr:rowOff>123824</xdr:rowOff>
    </xdr:from>
    <xdr:to>
      <xdr:col>11</xdr:col>
      <xdr:colOff>123824</xdr:colOff>
      <xdr:row>16</xdr:row>
      <xdr:rowOff>66674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824F28B7-E3AC-41D8-B3DE-4AA2E0D791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5</xdr:row>
      <xdr:rowOff>104775</xdr:rowOff>
    </xdr:from>
    <xdr:to>
      <xdr:col>6</xdr:col>
      <xdr:colOff>466725</xdr:colOff>
      <xdr:row>26</xdr:row>
      <xdr:rowOff>76200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B39A7E1B-E18F-4FD2-B389-4605AF308A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0</xdr:row>
      <xdr:rowOff>142875</xdr:rowOff>
    </xdr:from>
    <xdr:to>
      <xdr:col>13</xdr:col>
      <xdr:colOff>47625</xdr:colOff>
      <xdr:row>25</xdr:row>
      <xdr:rowOff>76200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38A2DF61-0520-431F-BCA1-6B80222BC1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0</xdr:row>
      <xdr:rowOff>142875</xdr:rowOff>
    </xdr:from>
    <xdr:to>
      <xdr:col>13</xdr:col>
      <xdr:colOff>47625</xdr:colOff>
      <xdr:row>25</xdr:row>
      <xdr:rowOff>76200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BA117CD1-CD08-43E5-9724-4B0C423454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0</xdr:row>
      <xdr:rowOff>142875</xdr:rowOff>
    </xdr:from>
    <xdr:to>
      <xdr:col>13</xdr:col>
      <xdr:colOff>47625</xdr:colOff>
      <xdr:row>25</xdr:row>
      <xdr:rowOff>76200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7A1BE30A-6438-44E2-B812-5D862786B9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asic%20sales%20report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castedu-my.sharepoint.com/personal/mark_vella_mcast_edu_mt/Documents/Level%204/MCAST%20EXCEL%20Class%20Excercises/For%20Assignment/Excel%20File%20for%20Class%20U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nput"/>
      <sheetName val="Power View1"/>
      <sheetName val="Power View2"/>
      <sheetName val="Sheet1"/>
      <sheetName val="Customizable Report"/>
      <sheetName val="Data Lists"/>
      <sheetName val="Basic sales report1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Cross Sheet Calculations"/>
      <sheetName val="January"/>
      <sheetName val="February"/>
      <sheetName val="March"/>
      <sheetName val="Financial Calculations"/>
      <sheetName val="Pivot Tables"/>
      <sheetName val="Ranges and Dropdown Lists"/>
      <sheetName val="Sheet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kv\Dropbox\MCAST\Level%204\ecdl_advanced_2.0_mod_4_2007\sample%20files\Excel%202007%20Advanced%20Course\Pivot%20Tables%2002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39993.456894791663" createdVersion="1" refreshedVersion="2" recordCount="14" upgradeOnRefresh="1" xr:uid="{00000000-000A-0000-FFFF-FFFF00000000}">
  <cacheSource type="worksheet">
    <worksheetSource ref="A3:G17" sheet="Pivot Table Data" r:id="rId2"/>
  </cacheSource>
  <cacheFields count="7">
    <cacheField name="Order Number" numFmtId="0">
      <sharedItems containsSemiMixedTypes="0" containsString="0" containsNumber="1" containsInteger="1" minValue="10847" maxValue="10860" count="14">
        <n v="10847"/>
        <n v="10848"/>
        <n v="10849"/>
        <n v="10850"/>
        <n v="10851"/>
        <n v="10852"/>
        <n v="10853"/>
        <n v="10854"/>
        <n v="10855"/>
        <n v="10856"/>
        <n v="10857"/>
        <n v="10858"/>
        <n v="10859"/>
        <n v="10860"/>
      </sharedItems>
    </cacheField>
    <cacheField name="Course" numFmtId="0">
      <sharedItems count="4">
        <s v="Excel Training"/>
        <s v="Word Training"/>
        <s v="PowerPoint Training"/>
        <s v="Access Training"/>
      </sharedItems>
    </cacheField>
    <cacheField name="Price/day for training" numFmtId="0">
      <sharedItems containsSemiMixedTypes="0" containsString="0" containsNumber="1" containsInteger="1" minValue="450" maxValue="600" count="3">
        <n v="500"/>
        <n v="450"/>
        <n v="600"/>
      </sharedItems>
    </cacheField>
    <cacheField name="No. of days training sold" numFmtId="0">
      <sharedItems containsSemiMixedTypes="0" containsString="0" containsNumber="1" containsInteger="1" minValue="1" maxValue="10" count="5">
        <n v="10"/>
        <n v="3"/>
        <n v="2"/>
        <n v="1"/>
        <n v="4"/>
      </sharedItems>
    </cacheField>
    <cacheField name="Total value" numFmtId="0">
      <sharedItems containsSemiMixedTypes="0" containsString="0" containsNumber="1" containsInteger="1" minValue="450" maxValue="5000" count="7">
        <n v="5000"/>
        <n v="1500"/>
        <n v="1000"/>
        <n v="450"/>
        <n v="900"/>
        <n v="2400"/>
        <n v="600"/>
      </sharedItems>
    </cacheField>
    <cacheField name="Customer" numFmtId="0">
      <sharedItems count="5">
        <s v="ZYX Company"/>
        <s v="XZY Company"/>
        <s v="KLM Company"/>
        <s v="ABC Company"/>
        <s v="QWE Company"/>
      </sharedItems>
    </cacheField>
    <cacheField name="Sales Person" numFmtId="0">
      <sharedItems count="4">
        <s v="Peter"/>
        <s v="Lou"/>
        <s v="Robert"/>
        <s v="Su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mberly Parascandalo" refreshedDate="44582.537957523149" createdVersion="7" refreshedVersion="7" minRefreshableVersion="3" recordCount="14" xr:uid="{96BFDA29-BD57-44A2-AE02-6B7D5FC77276}">
  <cacheSource type="worksheet">
    <worksheetSource ref="A3:G17" sheet="Pivot Table Data"/>
  </cacheSource>
  <cacheFields count="7">
    <cacheField name="Order Number" numFmtId="0">
      <sharedItems containsSemiMixedTypes="0" containsString="0" containsNumber="1" containsInteger="1" minValue="10847" maxValue="10860"/>
    </cacheField>
    <cacheField name="Course" numFmtId="0">
      <sharedItems count="4">
        <s v="Excel Training"/>
        <s v="Word Training"/>
        <s v="PowerPoint Training"/>
        <s v="Access Training"/>
      </sharedItems>
    </cacheField>
    <cacheField name="Price/day for training" numFmtId="0">
      <sharedItems containsSemiMixedTypes="0" containsString="0" containsNumber="1" containsInteger="1" minValue="450" maxValue="600" count="3">
        <n v="500"/>
        <n v="450"/>
        <n v="600"/>
      </sharedItems>
    </cacheField>
    <cacheField name="No. of days training sold" numFmtId="0">
      <sharedItems containsSemiMixedTypes="0" containsString="0" containsNumber="1" containsInteger="1" minValue="1" maxValue="4" count="4">
        <n v="1"/>
        <n v="3"/>
        <n v="2"/>
        <n v="4"/>
      </sharedItems>
    </cacheField>
    <cacheField name="Total value" numFmtId="0">
      <sharedItems containsSemiMixedTypes="0" containsString="0" containsNumber="1" containsInteger="1" minValue="450" maxValue="2400"/>
    </cacheField>
    <cacheField name="Customer" numFmtId="0">
      <sharedItems count="5">
        <s v="ZYX Company"/>
        <s v="XZY Company"/>
        <s v="KLM Company"/>
        <s v="ABC Company"/>
        <s v="QWE Company"/>
      </sharedItems>
    </cacheField>
    <cacheField name="Sales Person" numFmtId="0">
      <sharedItems count="4">
        <s v="Peter"/>
        <s v="Lou"/>
        <s v="Robert"/>
        <s v="Su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x v="0"/>
    <x v="0"/>
    <x v="0"/>
    <x v="0"/>
    <x v="0"/>
    <x v="0"/>
    <x v="0"/>
  </r>
  <r>
    <x v="1"/>
    <x v="0"/>
    <x v="0"/>
    <x v="1"/>
    <x v="1"/>
    <x v="1"/>
    <x v="1"/>
  </r>
  <r>
    <x v="2"/>
    <x v="0"/>
    <x v="0"/>
    <x v="2"/>
    <x v="2"/>
    <x v="2"/>
    <x v="2"/>
  </r>
  <r>
    <x v="3"/>
    <x v="0"/>
    <x v="0"/>
    <x v="2"/>
    <x v="2"/>
    <x v="3"/>
    <x v="3"/>
  </r>
  <r>
    <x v="4"/>
    <x v="1"/>
    <x v="1"/>
    <x v="3"/>
    <x v="3"/>
    <x v="1"/>
    <x v="0"/>
  </r>
  <r>
    <x v="5"/>
    <x v="2"/>
    <x v="1"/>
    <x v="3"/>
    <x v="3"/>
    <x v="2"/>
    <x v="2"/>
  </r>
  <r>
    <x v="6"/>
    <x v="1"/>
    <x v="1"/>
    <x v="2"/>
    <x v="4"/>
    <x v="3"/>
    <x v="3"/>
  </r>
  <r>
    <x v="7"/>
    <x v="3"/>
    <x v="2"/>
    <x v="4"/>
    <x v="5"/>
    <x v="1"/>
    <x v="1"/>
  </r>
  <r>
    <x v="8"/>
    <x v="2"/>
    <x v="1"/>
    <x v="3"/>
    <x v="3"/>
    <x v="2"/>
    <x v="0"/>
  </r>
  <r>
    <x v="9"/>
    <x v="1"/>
    <x v="1"/>
    <x v="3"/>
    <x v="3"/>
    <x v="1"/>
    <x v="1"/>
  </r>
  <r>
    <x v="10"/>
    <x v="3"/>
    <x v="2"/>
    <x v="4"/>
    <x v="5"/>
    <x v="3"/>
    <x v="2"/>
  </r>
  <r>
    <x v="11"/>
    <x v="1"/>
    <x v="1"/>
    <x v="2"/>
    <x v="4"/>
    <x v="4"/>
    <x v="0"/>
  </r>
  <r>
    <x v="12"/>
    <x v="3"/>
    <x v="2"/>
    <x v="3"/>
    <x v="6"/>
    <x v="0"/>
    <x v="2"/>
  </r>
  <r>
    <x v="13"/>
    <x v="2"/>
    <x v="1"/>
    <x v="2"/>
    <x v="4"/>
    <x v="3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n v="10847"/>
    <x v="0"/>
    <x v="0"/>
    <x v="0"/>
    <n v="500"/>
    <x v="0"/>
    <x v="0"/>
  </r>
  <r>
    <n v="10848"/>
    <x v="0"/>
    <x v="0"/>
    <x v="1"/>
    <n v="1500"/>
    <x v="1"/>
    <x v="1"/>
  </r>
  <r>
    <n v="10849"/>
    <x v="0"/>
    <x v="0"/>
    <x v="2"/>
    <n v="1000"/>
    <x v="2"/>
    <x v="2"/>
  </r>
  <r>
    <n v="10850"/>
    <x v="0"/>
    <x v="0"/>
    <x v="2"/>
    <n v="1000"/>
    <x v="3"/>
    <x v="3"/>
  </r>
  <r>
    <n v="10851"/>
    <x v="1"/>
    <x v="1"/>
    <x v="0"/>
    <n v="450"/>
    <x v="1"/>
    <x v="0"/>
  </r>
  <r>
    <n v="10852"/>
    <x v="2"/>
    <x v="1"/>
    <x v="0"/>
    <n v="450"/>
    <x v="2"/>
    <x v="2"/>
  </r>
  <r>
    <n v="10853"/>
    <x v="1"/>
    <x v="1"/>
    <x v="2"/>
    <n v="900"/>
    <x v="3"/>
    <x v="3"/>
  </r>
  <r>
    <n v="10854"/>
    <x v="3"/>
    <x v="2"/>
    <x v="3"/>
    <n v="2400"/>
    <x v="1"/>
    <x v="1"/>
  </r>
  <r>
    <n v="10855"/>
    <x v="2"/>
    <x v="1"/>
    <x v="0"/>
    <n v="450"/>
    <x v="2"/>
    <x v="0"/>
  </r>
  <r>
    <n v="10856"/>
    <x v="1"/>
    <x v="1"/>
    <x v="0"/>
    <n v="450"/>
    <x v="1"/>
    <x v="1"/>
  </r>
  <r>
    <n v="10857"/>
    <x v="3"/>
    <x v="2"/>
    <x v="3"/>
    <n v="2400"/>
    <x v="3"/>
    <x v="2"/>
  </r>
  <r>
    <n v="10858"/>
    <x v="1"/>
    <x v="1"/>
    <x v="2"/>
    <n v="900"/>
    <x v="4"/>
    <x v="0"/>
  </r>
  <r>
    <n v="10859"/>
    <x v="3"/>
    <x v="2"/>
    <x v="0"/>
    <n v="600"/>
    <x v="0"/>
    <x v="2"/>
  </r>
  <r>
    <n v="10860"/>
    <x v="2"/>
    <x v="1"/>
    <x v="2"/>
    <n v="900"/>
    <x v="3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764D70-14BE-48A4-A1CB-39E5DE14CFD1}" name="PivotTable2" cacheId="1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D8" firstHeaderRow="0" firstDataRow="1" firstDataCol="1"/>
  <pivotFields count="7">
    <pivotField showAll="0"/>
    <pivotField showAll="0"/>
    <pivotField dataField="1" showAll="0"/>
    <pivotField dataField="1" showAll="0"/>
    <pivotField dataField="1" showAll="0"/>
    <pivotField showAll="0"/>
    <pivotField axis="axisRow" showAll="0">
      <items count="5">
        <item x="1"/>
        <item x="0"/>
        <item x="2"/>
        <item x="3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rice/day for training" fld="2" baseField="0" baseItem="0"/>
    <dataField name="Sum of No. of days training sold" fld="3" baseField="0" baseItem="0"/>
    <dataField name="Sum of Total valu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609392-D6E3-461E-AD0D-31922F9FF829}" name="PivotTable3" cacheId="1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D9" firstHeaderRow="1" firstDataRow="2" firstDataCol="1" rowPageCount="1" colPageCount="1"/>
  <pivotFields count="7">
    <pivotField showAll="0"/>
    <pivotField axis="axisRow" showAll="0">
      <items count="5">
        <item x="3"/>
        <item x="0"/>
        <item x="2"/>
        <item x="1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dataField="1" showAll="0"/>
    <pivotField axis="axisRow" showAll="0">
      <items count="6">
        <item x="3"/>
        <item x="2"/>
        <item x="4"/>
        <item x="1"/>
        <item x="0"/>
        <item t="default"/>
      </items>
    </pivotField>
    <pivotField axis="axisCol" showAll="0">
      <items count="5">
        <item x="1"/>
        <item x="0"/>
        <item x="2"/>
        <item x="3"/>
        <item t="default"/>
      </items>
    </pivotField>
  </pivotFields>
  <rowFields count="2">
    <field x="1"/>
    <field x="5"/>
  </rowFields>
  <rowItems count="5">
    <i>
      <x/>
    </i>
    <i r="1">
      <x/>
    </i>
    <i r="1">
      <x v="3"/>
    </i>
    <i r="1">
      <x v="4"/>
    </i>
    <i t="grand">
      <x/>
    </i>
  </rowItems>
  <colFields count="1">
    <field x="6"/>
  </colFields>
  <colItems count="3">
    <i>
      <x/>
    </i>
    <i>
      <x v="2"/>
    </i>
    <i t="grand">
      <x/>
    </i>
  </colItems>
  <pageFields count="1">
    <pageField fld="2" item="2" hier="-1"/>
  </pageFields>
  <dataFields count="1">
    <dataField name="Sum of Total valu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2F00-000000000000}" name="PivotTable1" cacheId="0" dataOnRows="1" applyNumberFormats="0" applyBorderFormats="0" applyFontFormats="0" applyPatternFormats="0" applyAlignmentFormats="0" applyWidthHeightFormats="1" dataCaption="Data" updatedVersion="5" showMemberPropertyTips="0" useAutoFormatting="1" itemPrintTitles="1" createdVersion="1" indent="0" compact="0" compactData="0" gridDropZones="1">
  <location ref="A3:G9" firstHeaderRow="1" firstDataRow="2" firstDataCol="1"/>
  <pivotFields count="7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axis="axisCol" compact="0" outline="0" subtotalTop="0" showAll="0" includeNewItemsInFilter="1">
      <items count="6">
        <item x="3"/>
        <item x="2"/>
        <item x="4"/>
        <item x="1"/>
        <item x="0"/>
        <item t="default"/>
      </items>
    </pivotField>
    <pivotField axis="axisRow" compact="0" outline="0" subtotalTop="0" showAll="0" includeNewItemsInFilter="1">
      <items count="5">
        <item x="1"/>
        <item x="0"/>
        <item x="2"/>
        <item x="3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 value" fld="4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4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6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B2:L27"/>
  <sheetViews>
    <sheetView workbookViewId="0"/>
  </sheetViews>
  <sheetFormatPr defaultRowHeight="15" x14ac:dyDescent="0.25"/>
  <cols>
    <col min="2" max="2" width="16.42578125" bestFit="1" customWidth="1"/>
    <col min="3" max="3" width="9.42578125" bestFit="1" customWidth="1"/>
    <col min="4" max="5" width="11.5703125" bestFit="1" customWidth="1"/>
    <col min="6" max="6" width="16" bestFit="1" customWidth="1"/>
    <col min="7" max="7" width="8.140625" bestFit="1" customWidth="1"/>
  </cols>
  <sheetData>
    <row r="2" spans="2:11" x14ac:dyDescent="0.25">
      <c r="C2" t="s">
        <v>0</v>
      </c>
    </row>
    <row r="3" spans="2:11" ht="18.75" x14ac:dyDescent="0.3">
      <c r="I3" s="224" t="s">
        <v>1</v>
      </c>
      <c r="J3" s="224"/>
      <c r="K3" s="224"/>
    </row>
    <row r="4" spans="2:11" ht="15.75" x14ac:dyDescent="0.25">
      <c r="B4" s="11" t="s">
        <v>2</v>
      </c>
      <c r="C4" s="11" t="s">
        <v>3</v>
      </c>
      <c r="D4" s="11" t="s">
        <v>4</v>
      </c>
      <c r="E4" s="11" t="s">
        <v>5</v>
      </c>
      <c r="F4" s="10" t="s">
        <v>6</v>
      </c>
      <c r="I4" s="9" t="s">
        <v>7</v>
      </c>
      <c r="J4" s="8"/>
      <c r="K4" s="8"/>
    </row>
    <row r="5" spans="2:11" x14ac:dyDescent="0.25">
      <c r="B5" s="4" t="s">
        <v>8</v>
      </c>
      <c r="C5" s="3">
        <v>100</v>
      </c>
      <c r="D5" s="3">
        <v>300</v>
      </c>
      <c r="E5" s="3">
        <v>300</v>
      </c>
      <c r="F5" s="3"/>
      <c r="I5" s="8" t="s">
        <v>9</v>
      </c>
      <c r="J5" s="8"/>
      <c r="K5" s="8"/>
    </row>
    <row r="6" spans="2:11" x14ac:dyDescent="0.25">
      <c r="B6" s="4" t="s">
        <v>10</v>
      </c>
      <c r="C6" s="3">
        <v>300</v>
      </c>
      <c r="D6" s="3">
        <v>500</v>
      </c>
      <c r="E6" s="3">
        <v>300</v>
      </c>
      <c r="F6" s="3"/>
      <c r="I6" s="8" t="s">
        <v>11</v>
      </c>
      <c r="J6" s="8"/>
      <c r="K6" s="8"/>
    </row>
    <row r="7" spans="2:11" x14ac:dyDescent="0.25">
      <c r="B7" s="4" t="s">
        <v>12</v>
      </c>
      <c r="C7" s="3">
        <v>500</v>
      </c>
      <c r="D7" s="3">
        <v>20</v>
      </c>
      <c r="E7" s="3">
        <v>500</v>
      </c>
      <c r="F7" s="3"/>
      <c r="I7" s="8" t="s">
        <v>13</v>
      </c>
      <c r="J7" s="8"/>
      <c r="K7" s="8"/>
    </row>
    <row r="8" spans="2:11" x14ac:dyDescent="0.25">
      <c r="B8" s="7" t="s">
        <v>14</v>
      </c>
      <c r="C8" s="3">
        <v>20</v>
      </c>
      <c r="D8" s="3">
        <v>300</v>
      </c>
      <c r="E8" s="3">
        <v>300</v>
      </c>
      <c r="F8" s="3"/>
      <c r="I8" s="8" t="s">
        <v>15</v>
      </c>
      <c r="J8" s="8"/>
      <c r="K8" s="8"/>
    </row>
    <row r="9" spans="2:11" x14ac:dyDescent="0.25">
      <c r="B9" s="7" t="s">
        <v>16</v>
      </c>
      <c r="C9" s="3">
        <v>32</v>
      </c>
      <c r="D9" s="3">
        <v>300</v>
      </c>
      <c r="E9" s="3">
        <v>500</v>
      </c>
      <c r="F9" s="3"/>
    </row>
    <row r="10" spans="2:11" x14ac:dyDescent="0.25">
      <c r="B10" s="7" t="s">
        <v>17</v>
      </c>
      <c r="C10" s="3">
        <v>122</v>
      </c>
      <c r="D10" s="3">
        <v>500</v>
      </c>
      <c r="E10" s="3">
        <v>300</v>
      </c>
      <c r="F10" s="3"/>
    </row>
    <row r="11" spans="2:11" x14ac:dyDescent="0.25">
      <c r="B11" s="4" t="s">
        <v>18</v>
      </c>
      <c r="C11" s="3">
        <v>13</v>
      </c>
      <c r="D11" s="3">
        <v>20</v>
      </c>
      <c r="E11" s="3">
        <v>500</v>
      </c>
      <c r="F11" s="3"/>
    </row>
    <row r="12" spans="2:11" x14ac:dyDescent="0.25">
      <c r="B12" s="4" t="s">
        <v>19</v>
      </c>
      <c r="C12" s="3">
        <v>243</v>
      </c>
      <c r="D12" s="3">
        <v>32</v>
      </c>
      <c r="E12" s="3">
        <v>20</v>
      </c>
      <c r="F12" s="3"/>
    </row>
    <row r="13" spans="2:11" x14ac:dyDescent="0.25">
      <c r="B13" s="6" t="s">
        <v>20</v>
      </c>
      <c r="C13" s="5">
        <v>56</v>
      </c>
      <c r="D13" s="5"/>
      <c r="E13" s="5">
        <v>32</v>
      </c>
      <c r="F13" s="5"/>
    </row>
    <row r="14" spans="2:11" x14ac:dyDescent="0.25">
      <c r="B14" s="4" t="s">
        <v>21</v>
      </c>
      <c r="C14" s="3"/>
      <c r="D14" s="3"/>
      <c r="E14" s="3"/>
      <c r="F14" s="3"/>
    </row>
    <row r="16" spans="2:11" x14ac:dyDescent="0.25">
      <c r="B16" s="4" t="s">
        <v>22</v>
      </c>
      <c r="C16" s="3"/>
      <c r="D16" s="3"/>
      <c r="E16" s="3"/>
      <c r="F16" s="3"/>
    </row>
    <row r="17" spans="2:12" x14ac:dyDescent="0.25">
      <c r="B17" s="4" t="s">
        <v>23</v>
      </c>
      <c r="C17" s="3"/>
      <c r="D17" s="3"/>
      <c r="E17" s="3"/>
      <c r="F17" s="3"/>
    </row>
    <row r="18" spans="2:12" x14ac:dyDescent="0.25">
      <c r="B18" s="4" t="s">
        <v>24</v>
      </c>
      <c r="C18" s="3"/>
      <c r="D18" s="3"/>
      <c r="E18" s="3"/>
      <c r="F18" s="3"/>
    </row>
    <row r="19" spans="2:12" x14ac:dyDescent="0.25">
      <c r="B19" s="4" t="s">
        <v>25</v>
      </c>
      <c r="C19" s="3"/>
      <c r="D19" s="3"/>
      <c r="E19" s="3"/>
      <c r="F19" s="3"/>
    </row>
    <row r="22" spans="2:12" x14ac:dyDescent="0.25">
      <c r="C22" t="s">
        <v>26</v>
      </c>
      <c r="D22" t="s">
        <v>27</v>
      </c>
      <c r="E22" t="s">
        <v>28</v>
      </c>
      <c r="F22" t="s">
        <v>29</v>
      </c>
      <c r="G22" t="s">
        <v>30</v>
      </c>
      <c r="I22" s="2" t="s">
        <v>31</v>
      </c>
      <c r="J22" s="2"/>
      <c r="K22" s="2"/>
      <c r="L22" s="2"/>
    </row>
    <row r="23" spans="2:12" x14ac:dyDescent="0.25">
      <c r="B23" t="s">
        <v>32</v>
      </c>
      <c r="C23" s="1">
        <v>3781.17</v>
      </c>
      <c r="D23">
        <v>234.43</v>
      </c>
      <c r="E23">
        <v>54.83</v>
      </c>
      <c r="G23" s="1"/>
      <c r="I23" s="2" t="s">
        <v>33</v>
      </c>
      <c r="J23" s="2"/>
      <c r="K23" s="2"/>
      <c r="L23" s="2"/>
    </row>
    <row r="24" spans="2:12" x14ac:dyDescent="0.25">
      <c r="B24" t="s">
        <v>34</v>
      </c>
      <c r="C24" s="1">
        <v>3784.32</v>
      </c>
      <c r="D24">
        <v>234.63</v>
      </c>
      <c r="E24">
        <v>54.87</v>
      </c>
      <c r="G24" s="1"/>
      <c r="I24" s="2" t="s">
        <v>35</v>
      </c>
      <c r="J24" s="2"/>
      <c r="K24" s="2"/>
      <c r="L24" s="2"/>
    </row>
    <row r="25" spans="2:12" x14ac:dyDescent="0.25">
      <c r="B25" t="s">
        <v>36</v>
      </c>
      <c r="C25" s="1">
        <v>8565.51</v>
      </c>
      <c r="D25">
        <v>531.05999999999995</v>
      </c>
      <c r="E25">
        <v>124.2</v>
      </c>
      <c r="G25" s="1"/>
    </row>
    <row r="26" spans="2:12" x14ac:dyDescent="0.25">
      <c r="B26" t="s">
        <v>37</v>
      </c>
      <c r="C26" s="1">
        <v>2627.99</v>
      </c>
      <c r="D26">
        <v>162.94</v>
      </c>
      <c r="E26">
        <v>38.11</v>
      </c>
      <c r="G26" s="1"/>
    </row>
    <row r="27" spans="2:12" x14ac:dyDescent="0.25">
      <c r="B27" t="s">
        <v>38</v>
      </c>
      <c r="C27" s="1">
        <v>9069.66</v>
      </c>
      <c r="D27">
        <v>562.32000000000005</v>
      </c>
      <c r="E27">
        <v>131.51</v>
      </c>
      <c r="G27" s="1"/>
    </row>
  </sheetData>
  <mergeCells count="1">
    <mergeCell ref="I3:K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39997558519241921"/>
  </sheetPr>
  <dimension ref="A1:H11"/>
  <sheetViews>
    <sheetView workbookViewId="0">
      <selection activeCell="D36" sqref="D36"/>
    </sheetView>
  </sheetViews>
  <sheetFormatPr defaultRowHeight="15" x14ac:dyDescent="0.25"/>
  <cols>
    <col min="1" max="1" width="20" customWidth="1"/>
    <col min="2" max="2" width="19.28515625" bestFit="1" customWidth="1"/>
    <col min="3" max="3" width="11.28515625" bestFit="1" customWidth="1"/>
  </cols>
  <sheetData>
    <row r="1" spans="1:8" ht="31.5" x14ac:dyDescent="0.5">
      <c r="B1" s="16" t="s">
        <v>39</v>
      </c>
      <c r="C1" s="16"/>
      <c r="D1" s="16"/>
      <c r="E1" s="16"/>
      <c r="F1" s="16"/>
      <c r="G1" s="16"/>
      <c r="H1" s="16"/>
    </row>
    <row r="3" spans="1:8" x14ac:dyDescent="0.25">
      <c r="B3" s="4" t="s">
        <v>40</v>
      </c>
      <c r="C3" s="15">
        <v>20000</v>
      </c>
      <c r="D3" s="3"/>
    </row>
    <row r="4" spans="1:8" x14ac:dyDescent="0.25">
      <c r="A4" s="3"/>
      <c r="B4" s="4" t="s">
        <v>41</v>
      </c>
      <c r="C4" s="14">
        <v>0.05</v>
      </c>
      <c r="D4" s="3"/>
    </row>
    <row r="5" spans="1:8" x14ac:dyDescent="0.25">
      <c r="A5" s="3"/>
      <c r="B5" s="3"/>
      <c r="C5" s="3"/>
      <c r="D5" s="4" t="s">
        <v>42</v>
      </c>
      <c r="E5" s="13" t="s">
        <v>43</v>
      </c>
    </row>
    <row r="6" spans="1:8" x14ac:dyDescent="0.25">
      <c r="A6" s="3"/>
      <c r="B6" s="4" t="s">
        <v>8</v>
      </c>
      <c r="C6" s="12">
        <v>4000</v>
      </c>
      <c r="D6" s="3"/>
    </row>
    <row r="7" spans="1:8" x14ac:dyDescent="0.25">
      <c r="A7" s="3"/>
      <c r="B7" s="4" t="s">
        <v>10</v>
      </c>
      <c r="C7" s="12">
        <v>100</v>
      </c>
      <c r="D7" s="3"/>
    </row>
    <row r="8" spans="1:8" x14ac:dyDescent="0.25">
      <c r="A8" s="3"/>
      <c r="B8" s="4" t="s">
        <v>12</v>
      </c>
      <c r="C8" s="12">
        <v>8000</v>
      </c>
      <c r="D8" s="3"/>
    </row>
    <row r="9" spans="1:8" x14ac:dyDescent="0.25">
      <c r="A9" s="3"/>
      <c r="B9" s="7" t="s">
        <v>44</v>
      </c>
      <c r="C9" s="12">
        <v>5000</v>
      </c>
      <c r="D9" s="3"/>
    </row>
    <row r="10" spans="1:8" x14ac:dyDescent="0.25">
      <c r="A10" s="3"/>
      <c r="B10" s="7" t="s">
        <v>45</v>
      </c>
      <c r="C10" s="12">
        <v>900</v>
      </c>
      <c r="D10" s="3"/>
    </row>
    <row r="11" spans="1:8" x14ac:dyDescent="0.25">
      <c r="B11" s="7" t="s">
        <v>17</v>
      </c>
      <c r="C11" s="12">
        <v>2000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-0.249977111117893"/>
  </sheetPr>
  <dimension ref="A2:N109"/>
  <sheetViews>
    <sheetView workbookViewId="0">
      <selection activeCell="J10" sqref="J10"/>
    </sheetView>
  </sheetViews>
  <sheetFormatPr defaultRowHeight="15" x14ac:dyDescent="0.25"/>
  <cols>
    <col min="7" max="7" width="9.7109375" bestFit="1" customWidth="1"/>
  </cols>
  <sheetData>
    <row r="2" spans="1:14" x14ac:dyDescent="0.25">
      <c r="C2" t="s">
        <v>46</v>
      </c>
    </row>
    <row r="4" spans="1:14" ht="39" x14ac:dyDescent="0.25">
      <c r="A4" s="22" t="s">
        <v>47</v>
      </c>
      <c r="B4" s="22" t="s">
        <v>48</v>
      </c>
      <c r="C4" s="22" t="s">
        <v>49</v>
      </c>
      <c r="D4" s="22" t="s">
        <v>50</v>
      </c>
      <c r="E4" s="22" t="s">
        <v>51</v>
      </c>
      <c r="F4" s="22" t="s">
        <v>52</v>
      </c>
      <c r="G4" s="22" t="s">
        <v>53</v>
      </c>
      <c r="H4" s="22" t="s">
        <v>54</v>
      </c>
      <c r="I4" s="20"/>
      <c r="J4" s="21" t="s">
        <v>55</v>
      </c>
      <c r="K4" s="21"/>
      <c r="L4" s="21"/>
      <c r="M4" s="21"/>
      <c r="N4" s="21"/>
    </row>
    <row r="5" spans="1:14" x14ac:dyDescent="0.25">
      <c r="A5" s="19">
        <v>40544</v>
      </c>
      <c r="B5" s="18" t="s">
        <v>56</v>
      </c>
      <c r="C5" s="18" t="s">
        <v>57</v>
      </c>
      <c r="D5" s="18" t="s">
        <v>58</v>
      </c>
      <c r="E5" s="18" t="s">
        <v>59</v>
      </c>
      <c r="F5" s="18">
        <v>16</v>
      </c>
      <c r="G5" s="17">
        <v>432</v>
      </c>
      <c r="H5" s="17">
        <v>232</v>
      </c>
      <c r="I5" s="20"/>
      <c r="J5" s="20"/>
      <c r="K5" s="20"/>
      <c r="L5" s="20"/>
      <c r="M5" s="20"/>
      <c r="N5" s="20"/>
    </row>
    <row r="6" spans="1:14" x14ac:dyDescent="0.25">
      <c r="A6" s="19">
        <v>40545</v>
      </c>
      <c r="B6" s="18" t="s">
        <v>60</v>
      </c>
      <c r="C6" s="18" t="s">
        <v>61</v>
      </c>
      <c r="D6" s="18" t="s">
        <v>62</v>
      </c>
      <c r="E6" s="18" t="s">
        <v>63</v>
      </c>
      <c r="F6" s="18">
        <v>24</v>
      </c>
      <c r="G6" s="17">
        <v>528</v>
      </c>
      <c r="H6" s="17">
        <v>240</v>
      </c>
      <c r="I6" s="20"/>
      <c r="J6" s="20"/>
      <c r="K6" s="20"/>
      <c r="L6" s="20"/>
      <c r="M6" s="20"/>
      <c r="N6" s="20"/>
    </row>
    <row r="7" spans="1:14" x14ac:dyDescent="0.25">
      <c r="A7" s="19">
        <v>40545</v>
      </c>
      <c r="B7" s="18" t="s">
        <v>56</v>
      </c>
      <c r="C7" s="18" t="s">
        <v>64</v>
      </c>
      <c r="D7" s="18" t="s">
        <v>65</v>
      </c>
      <c r="E7" s="18" t="s">
        <v>66</v>
      </c>
      <c r="F7" s="18">
        <v>30</v>
      </c>
      <c r="G7" s="17">
        <v>810</v>
      </c>
      <c r="H7" s="17">
        <v>435</v>
      </c>
      <c r="I7" s="20"/>
      <c r="J7" s="20"/>
      <c r="K7" s="20"/>
      <c r="L7" s="20"/>
      <c r="M7" s="20"/>
      <c r="N7" s="20"/>
    </row>
    <row r="8" spans="1:14" x14ac:dyDescent="0.25">
      <c r="A8" s="19">
        <v>40545</v>
      </c>
      <c r="B8" s="18" t="s">
        <v>60</v>
      </c>
      <c r="C8" s="18" t="s">
        <v>64</v>
      </c>
      <c r="D8" s="18" t="s">
        <v>65</v>
      </c>
      <c r="E8" s="18" t="s">
        <v>67</v>
      </c>
      <c r="F8" s="18">
        <v>19</v>
      </c>
      <c r="G8" s="17">
        <v>418</v>
      </c>
      <c r="H8" s="17">
        <v>190</v>
      </c>
      <c r="I8" s="20"/>
      <c r="J8" s="20"/>
      <c r="K8" s="20"/>
      <c r="L8" s="20"/>
      <c r="M8" s="20"/>
      <c r="N8" s="20"/>
    </row>
    <row r="9" spans="1:14" x14ac:dyDescent="0.25">
      <c r="A9" s="19">
        <v>40546</v>
      </c>
      <c r="B9" s="18" t="s">
        <v>68</v>
      </c>
      <c r="C9" s="18" t="s">
        <v>57</v>
      </c>
      <c r="D9" s="18" t="s">
        <v>65</v>
      </c>
      <c r="E9" s="18" t="s">
        <v>69</v>
      </c>
      <c r="F9" s="18">
        <v>38</v>
      </c>
      <c r="G9" s="17">
        <v>722</v>
      </c>
      <c r="H9" s="17">
        <v>304</v>
      </c>
      <c r="I9" s="20"/>
      <c r="J9" s="20"/>
      <c r="K9" s="20"/>
      <c r="L9" s="20"/>
      <c r="M9" s="20"/>
      <c r="N9" s="20"/>
    </row>
    <row r="10" spans="1:14" x14ac:dyDescent="0.25">
      <c r="A10" s="19">
        <v>40546</v>
      </c>
      <c r="B10" s="18" t="s">
        <v>70</v>
      </c>
      <c r="C10" s="18" t="s">
        <v>71</v>
      </c>
      <c r="D10" s="18" t="s">
        <v>72</v>
      </c>
      <c r="E10" s="18" t="s">
        <v>69</v>
      </c>
      <c r="F10" s="18">
        <v>20</v>
      </c>
      <c r="G10" s="17">
        <v>460</v>
      </c>
      <c r="H10" s="17">
        <v>220</v>
      </c>
      <c r="I10" s="20"/>
      <c r="J10" s="20"/>
      <c r="K10" s="20"/>
      <c r="L10" s="20"/>
      <c r="M10" s="20"/>
      <c r="N10" s="20"/>
    </row>
    <row r="11" spans="1:14" x14ac:dyDescent="0.25">
      <c r="A11" s="19">
        <v>40546</v>
      </c>
      <c r="B11" s="18" t="s">
        <v>73</v>
      </c>
      <c r="C11" s="18" t="s">
        <v>61</v>
      </c>
      <c r="D11" s="18" t="s">
        <v>65</v>
      </c>
      <c r="E11" s="18" t="s">
        <v>74</v>
      </c>
      <c r="F11" s="18">
        <v>23</v>
      </c>
      <c r="G11" s="17">
        <v>483</v>
      </c>
      <c r="H11" s="17">
        <v>212.75</v>
      </c>
      <c r="I11" s="20"/>
      <c r="J11" s="20"/>
      <c r="K11" s="20"/>
      <c r="L11" s="20"/>
      <c r="M11" s="20"/>
      <c r="N11" s="20"/>
    </row>
    <row r="12" spans="1:14" x14ac:dyDescent="0.25">
      <c r="A12" s="19">
        <v>40546</v>
      </c>
      <c r="B12" s="18" t="s">
        <v>68</v>
      </c>
      <c r="C12" s="18" t="s">
        <v>61</v>
      </c>
      <c r="D12" s="18" t="s">
        <v>58</v>
      </c>
      <c r="E12" s="18" t="s">
        <v>75</v>
      </c>
      <c r="F12" s="18">
        <v>6</v>
      </c>
      <c r="G12" s="17">
        <v>114</v>
      </c>
      <c r="H12" s="17">
        <v>48</v>
      </c>
      <c r="I12" s="20"/>
      <c r="J12" s="20"/>
      <c r="K12" s="20"/>
      <c r="L12" s="20"/>
      <c r="M12" s="20"/>
      <c r="N12" s="20"/>
    </row>
    <row r="13" spans="1:14" x14ac:dyDescent="0.25">
      <c r="A13" s="19">
        <v>40547</v>
      </c>
      <c r="B13" s="18" t="s">
        <v>73</v>
      </c>
      <c r="C13" s="18" t="s">
        <v>71</v>
      </c>
      <c r="D13" s="18" t="s">
        <v>58</v>
      </c>
      <c r="E13" s="18" t="s">
        <v>76</v>
      </c>
      <c r="F13" s="18">
        <v>29</v>
      </c>
      <c r="G13" s="17">
        <v>609</v>
      </c>
      <c r="H13" s="17">
        <v>268.25</v>
      </c>
      <c r="I13" s="20"/>
      <c r="J13" s="20"/>
      <c r="K13" s="20"/>
      <c r="L13" s="20"/>
      <c r="M13" s="20"/>
      <c r="N13" s="20"/>
    </row>
    <row r="14" spans="1:14" x14ac:dyDescent="0.25">
      <c r="A14" s="19">
        <v>40548</v>
      </c>
      <c r="B14" s="18" t="s">
        <v>73</v>
      </c>
      <c r="C14" s="18" t="s">
        <v>61</v>
      </c>
      <c r="D14" s="18" t="s">
        <v>65</v>
      </c>
      <c r="E14" s="18" t="s">
        <v>77</v>
      </c>
      <c r="F14" s="18">
        <v>57</v>
      </c>
      <c r="G14" s="17">
        <v>1197</v>
      </c>
      <c r="H14" s="17">
        <v>527.25</v>
      </c>
      <c r="I14" s="20"/>
      <c r="J14" s="20"/>
      <c r="K14" s="20"/>
      <c r="L14" s="20"/>
      <c r="M14" s="20"/>
      <c r="N14" s="20"/>
    </row>
    <row r="15" spans="1:14" x14ac:dyDescent="0.25">
      <c r="A15" s="19">
        <v>40548</v>
      </c>
      <c r="B15" s="18" t="s">
        <v>68</v>
      </c>
      <c r="C15" s="18" t="s">
        <v>64</v>
      </c>
      <c r="D15" s="18" t="s">
        <v>78</v>
      </c>
      <c r="E15" s="18" t="s">
        <v>79</v>
      </c>
      <c r="F15" s="18">
        <v>12</v>
      </c>
      <c r="G15" s="17">
        <v>228</v>
      </c>
      <c r="H15" s="17">
        <v>96</v>
      </c>
      <c r="I15" s="20"/>
      <c r="J15" s="20"/>
      <c r="K15" s="20"/>
      <c r="L15" s="20"/>
      <c r="M15" s="20"/>
      <c r="N15" s="20"/>
    </row>
    <row r="16" spans="1:14" x14ac:dyDescent="0.25">
      <c r="A16" s="19">
        <v>40548</v>
      </c>
      <c r="B16" s="18" t="s">
        <v>70</v>
      </c>
      <c r="C16" s="18" t="s">
        <v>64</v>
      </c>
      <c r="D16" s="18" t="s">
        <v>78</v>
      </c>
      <c r="E16" s="18" t="s">
        <v>80</v>
      </c>
      <c r="F16" s="18">
        <v>60</v>
      </c>
      <c r="G16" s="17">
        <v>1380</v>
      </c>
      <c r="H16" s="17">
        <v>660</v>
      </c>
      <c r="I16" s="20"/>
      <c r="J16" s="20"/>
      <c r="K16" s="20"/>
      <c r="L16" s="20"/>
      <c r="M16" s="20"/>
      <c r="N16" s="20"/>
    </row>
    <row r="17" spans="1:14" x14ac:dyDescent="0.25">
      <c r="A17" s="19">
        <v>40549</v>
      </c>
      <c r="B17" s="18" t="s">
        <v>68</v>
      </c>
      <c r="C17" s="18" t="s">
        <v>57</v>
      </c>
      <c r="D17" s="18" t="s">
        <v>78</v>
      </c>
      <c r="E17" s="18" t="s">
        <v>81</v>
      </c>
      <c r="F17" s="18">
        <v>54</v>
      </c>
      <c r="G17" s="17">
        <v>1026</v>
      </c>
      <c r="H17" s="17">
        <v>432</v>
      </c>
      <c r="I17" s="20"/>
      <c r="J17" s="20"/>
      <c r="K17" s="20"/>
      <c r="L17" s="20"/>
      <c r="M17" s="20"/>
      <c r="N17" s="20"/>
    </row>
    <row r="18" spans="1:14" x14ac:dyDescent="0.25">
      <c r="A18" s="19">
        <v>40549</v>
      </c>
      <c r="B18" s="18" t="s">
        <v>68</v>
      </c>
      <c r="C18" s="18" t="s">
        <v>61</v>
      </c>
      <c r="D18" s="18" t="s">
        <v>82</v>
      </c>
      <c r="E18" s="18" t="s">
        <v>83</v>
      </c>
      <c r="F18" s="18">
        <v>40</v>
      </c>
      <c r="G18" s="17">
        <v>760</v>
      </c>
      <c r="H18" s="17">
        <v>320</v>
      </c>
      <c r="I18" s="20"/>
      <c r="J18" s="20"/>
      <c r="K18" s="20"/>
      <c r="L18" s="20"/>
      <c r="M18" s="20"/>
      <c r="N18" s="20"/>
    </row>
    <row r="19" spans="1:14" x14ac:dyDescent="0.25">
      <c r="A19" s="19">
        <v>40549</v>
      </c>
      <c r="B19" s="18" t="s">
        <v>70</v>
      </c>
      <c r="C19" s="18" t="s">
        <v>64</v>
      </c>
      <c r="D19" s="18" t="s">
        <v>58</v>
      </c>
      <c r="E19" s="18" t="s">
        <v>84</v>
      </c>
      <c r="F19" s="18">
        <v>18</v>
      </c>
      <c r="G19" s="17">
        <v>414</v>
      </c>
      <c r="H19" s="17">
        <v>198</v>
      </c>
      <c r="I19" s="20"/>
      <c r="J19" s="20"/>
      <c r="K19" s="20"/>
      <c r="L19" s="20"/>
      <c r="M19" s="20"/>
      <c r="N19" s="20"/>
    </row>
    <row r="20" spans="1:14" x14ac:dyDescent="0.25">
      <c r="A20" s="19">
        <v>40549</v>
      </c>
      <c r="B20" s="18" t="s">
        <v>56</v>
      </c>
      <c r="C20" s="18" t="s">
        <v>64</v>
      </c>
      <c r="D20" s="18" t="s">
        <v>58</v>
      </c>
      <c r="E20" s="18" t="s">
        <v>75</v>
      </c>
      <c r="F20" s="18">
        <v>64</v>
      </c>
      <c r="G20" s="17">
        <v>1728</v>
      </c>
      <c r="H20" s="17">
        <v>928</v>
      </c>
    </row>
    <row r="21" spans="1:14" x14ac:dyDescent="0.25">
      <c r="A21" s="19">
        <v>40550</v>
      </c>
      <c r="B21" s="18" t="s">
        <v>70</v>
      </c>
      <c r="C21" s="18" t="s">
        <v>71</v>
      </c>
      <c r="D21" s="18" t="s">
        <v>78</v>
      </c>
      <c r="E21" s="18" t="s">
        <v>85</v>
      </c>
      <c r="F21" s="18">
        <v>12</v>
      </c>
      <c r="G21" s="17">
        <v>276</v>
      </c>
      <c r="H21" s="17">
        <v>132</v>
      </c>
    </row>
    <row r="22" spans="1:14" x14ac:dyDescent="0.25">
      <c r="A22" s="19">
        <v>40550</v>
      </c>
      <c r="B22" s="18" t="s">
        <v>73</v>
      </c>
      <c r="C22" s="18" t="s">
        <v>71</v>
      </c>
      <c r="D22" s="18" t="s">
        <v>58</v>
      </c>
      <c r="E22" s="18" t="s">
        <v>75</v>
      </c>
      <c r="F22" s="18">
        <v>22</v>
      </c>
      <c r="G22" s="17">
        <v>462</v>
      </c>
      <c r="H22" s="17">
        <v>203.5</v>
      </c>
    </row>
    <row r="23" spans="1:14" x14ac:dyDescent="0.25">
      <c r="A23" s="19">
        <v>40550</v>
      </c>
      <c r="B23" s="18" t="s">
        <v>73</v>
      </c>
      <c r="C23" s="18" t="s">
        <v>64</v>
      </c>
      <c r="D23" s="18" t="s">
        <v>65</v>
      </c>
      <c r="E23" s="18" t="s">
        <v>86</v>
      </c>
      <c r="F23" s="18">
        <v>61</v>
      </c>
      <c r="G23" s="17">
        <v>1281</v>
      </c>
      <c r="H23" s="17">
        <v>564.25</v>
      </c>
    </row>
    <row r="24" spans="1:14" x14ac:dyDescent="0.25">
      <c r="A24" s="19">
        <v>40550</v>
      </c>
      <c r="B24" s="18" t="s">
        <v>73</v>
      </c>
      <c r="C24" s="18" t="s">
        <v>64</v>
      </c>
      <c r="D24" s="18" t="s">
        <v>65</v>
      </c>
      <c r="E24" s="18" t="s">
        <v>87</v>
      </c>
      <c r="F24" s="18">
        <v>53</v>
      </c>
      <c r="G24" s="17">
        <v>1113</v>
      </c>
      <c r="H24" s="17">
        <v>490.25</v>
      </c>
    </row>
    <row r="25" spans="1:14" x14ac:dyDescent="0.25">
      <c r="A25" s="19">
        <v>40550</v>
      </c>
      <c r="B25" s="18" t="s">
        <v>60</v>
      </c>
      <c r="C25" s="18" t="s">
        <v>64</v>
      </c>
      <c r="D25" s="18" t="s">
        <v>82</v>
      </c>
      <c r="E25" s="18" t="s">
        <v>86</v>
      </c>
      <c r="F25" s="18">
        <v>27</v>
      </c>
      <c r="G25" s="17">
        <v>594</v>
      </c>
      <c r="H25" s="17">
        <v>270</v>
      </c>
    </row>
    <row r="26" spans="1:14" x14ac:dyDescent="0.25">
      <c r="A26" s="19">
        <v>40551</v>
      </c>
      <c r="B26" s="18" t="s">
        <v>56</v>
      </c>
      <c r="C26" s="18" t="s">
        <v>64</v>
      </c>
      <c r="D26" s="18" t="s">
        <v>72</v>
      </c>
      <c r="E26" s="18" t="s">
        <v>88</v>
      </c>
      <c r="F26" s="18">
        <v>16</v>
      </c>
      <c r="G26" s="17">
        <v>432</v>
      </c>
      <c r="H26" s="17">
        <v>232</v>
      </c>
    </row>
    <row r="27" spans="1:14" x14ac:dyDescent="0.25">
      <c r="A27" s="19">
        <v>40552</v>
      </c>
      <c r="B27" s="18" t="s">
        <v>70</v>
      </c>
      <c r="C27" s="18" t="s">
        <v>57</v>
      </c>
      <c r="D27" s="18" t="s">
        <v>78</v>
      </c>
      <c r="E27" s="18" t="s">
        <v>74</v>
      </c>
      <c r="F27" s="18">
        <v>38</v>
      </c>
      <c r="G27" s="17">
        <v>874</v>
      </c>
      <c r="H27" s="17">
        <v>418</v>
      </c>
    </row>
    <row r="28" spans="1:14" x14ac:dyDescent="0.25">
      <c r="A28" s="19">
        <v>40552</v>
      </c>
      <c r="B28" s="18" t="s">
        <v>60</v>
      </c>
      <c r="C28" s="18" t="s">
        <v>57</v>
      </c>
      <c r="D28" s="18" t="s">
        <v>65</v>
      </c>
      <c r="E28" s="18" t="s">
        <v>89</v>
      </c>
      <c r="F28" s="18">
        <v>40</v>
      </c>
      <c r="G28" s="17">
        <v>880</v>
      </c>
      <c r="H28" s="17">
        <v>400</v>
      </c>
    </row>
    <row r="29" spans="1:14" x14ac:dyDescent="0.25">
      <c r="A29" s="19">
        <v>40552</v>
      </c>
      <c r="B29" s="18" t="s">
        <v>68</v>
      </c>
      <c r="C29" s="18" t="s">
        <v>57</v>
      </c>
      <c r="D29" s="18" t="s">
        <v>82</v>
      </c>
      <c r="E29" s="18" t="s">
        <v>75</v>
      </c>
      <c r="F29" s="18">
        <v>42</v>
      </c>
      <c r="G29" s="17">
        <v>798</v>
      </c>
      <c r="H29" s="17">
        <v>336</v>
      </c>
    </row>
    <row r="30" spans="1:14" x14ac:dyDescent="0.25">
      <c r="A30" s="19">
        <v>40552</v>
      </c>
      <c r="B30" s="18" t="s">
        <v>60</v>
      </c>
      <c r="C30" s="18" t="s">
        <v>61</v>
      </c>
      <c r="D30" s="18" t="s">
        <v>72</v>
      </c>
      <c r="E30" s="18" t="s">
        <v>74</v>
      </c>
      <c r="F30" s="18">
        <v>26</v>
      </c>
      <c r="G30" s="17">
        <v>572</v>
      </c>
      <c r="H30" s="17">
        <v>260</v>
      </c>
    </row>
    <row r="31" spans="1:14" x14ac:dyDescent="0.25">
      <c r="A31" s="19">
        <v>40552</v>
      </c>
      <c r="B31" s="18" t="s">
        <v>60</v>
      </c>
      <c r="C31" s="18" t="s">
        <v>61</v>
      </c>
      <c r="D31" s="18" t="s">
        <v>58</v>
      </c>
      <c r="E31" s="18" t="s">
        <v>83</v>
      </c>
      <c r="F31" s="18">
        <v>15</v>
      </c>
      <c r="G31" s="17">
        <v>330</v>
      </c>
      <c r="H31" s="17">
        <v>150</v>
      </c>
    </row>
    <row r="32" spans="1:14" x14ac:dyDescent="0.25">
      <c r="A32" s="19">
        <v>40553</v>
      </c>
      <c r="B32" s="18" t="s">
        <v>73</v>
      </c>
      <c r="C32" s="18" t="s">
        <v>57</v>
      </c>
      <c r="D32" s="18" t="s">
        <v>62</v>
      </c>
      <c r="E32" s="18" t="s">
        <v>90</v>
      </c>
      <c r="F32" s="18">
        <v>27</v>
      </c>
      <c r="G32" s="17">
        <v>567</v>
      </c>
      <c r="H32" s="17">
        <v>249.75</v>
      </c>
    </row>
    <row r="33" spans="1:8" x14ac:dyDescent="0.25">
      <c r="A33" s="19">
        <v>40553</v>
      </c>
      <c r="B33" s="18" t="s">
        <v>70</v>
      </c>
      <c r="C33" s="18" t="s">
        <v>57</v>
      </c>
      <c r="D33" s="18" t="s">
        <v>65</v>
      </c>
      <c r="E33" s="18" t="s">
        <v>59</v>
      </c>
      <c r="F33" s="18">
        <v>63</v>
      </c>
      <c r="G33" s="17">
        <v>1449</v>
      </c>
      <c r="H33" s="17">
        <v>693</v>
      </c>
    </row>
    <row r="34" spans="1:8" x14ac:dyDescent="0.25">
      <c r="A34" s="19">
        <v>40553</v>
      </c>
      <c r="B34" s="18" t="s">
        <v>56</v>
      </c>
      <c r="C34" s="18" t="s">
        <v>57</v>
      </c>
      <c r="D34" s="18" t="s">
        <v>82</v>
      </c>
      <c r="E34" s="18" t="s">
        <v>91</v>
      </c>
      <c r="F34" s="18">
        <v>17</v>
      </c>
      <c r="G34" s="17">
        <v>459</v>
      </c>
      <c r="H34" s="17">
        <v>246.5</v>
      </c>
    </row>
    <row r="35" spans="1:8" x14ac:dyDescent="0.25">
      <c r="A35" s="19">
        <v>40553</v>
      </c>
      <c r="B35" s="18" t="s">
        <v>73</v>
      </c>
      <c r="C35" s="18" t="s">
        <v>57</v>
      </c>
      <c r="D35" s="18" t="s">
        <v>82</v>
      </c>
      <c r="E35" s="18" t="s">
        <v>92</v>
      </c>
      <c r="F35" s="18">
        <v>17</v>
      </c>
      <c r="G35" s="17">
        <v>357</v>
      </c>
      <c r="H35" s="17">
        <v>157.25</v>
      </c>
    </row>
    <row r="36" spans="1:8" x14ac:dyDescent="0.25">
      <c r="A36" s="19">
        <v>40553</v>
      </c>
      <c r="B36" s="18" t="s">
        <v>60</v>
      </c>
      <c r="C36" s="18" t="s">
        <v>71</v>
      </c>
      <c r="D36" s="18" t="s">
        <v>62</v>
      </c>
      <c r="E36" s="18" t="s">
        <v>69</v>
      </c>
      <c r="F36" s="18">
        <v>7</v>
      </c>
      <c r="G36" s="17">
        <v>154</v>
      </c>
      <c r="H36" s="17">
        <v>70</v>
      </c>
    </row>
    <row r="37" spans="1:8" x14ac:dyDescent="0.25">
      <c r="A37" s="19">
        <v>40553</v>
      </c>
      <c r="B37" s="18" t="s">
        <v>68</v>
      </c>
      <c r="C37" s="18" t="s">
        <v>71</v>
      </c>
      <c r="D37" s="18" t="s">
        <v>82</v>
      </c>
      <c r="E37" s="18" t="s">
        <v>77</v>
      </c>
      <c r="F37" s="18">
        <v>8</v>
      </c>
      <c r="G37" s="17">
        <v>152</v>
      </c>
      <c r="H37" s="17">
        <v>64</v>
      </c>
    </row>
    <row r="38" spans="1:8" x14ac:dyDescent="0.25">
      <c r="A38" s="19">
        <v>40553</v>
      </c>
      <c r="B38" s="18" t="s">
        <v>68</v>
      </c>
      <c r="C38" s="18" t="s">
        <v>61</v>
      </c>
      <c r="D38" s="18" t="s">
        <v>72</v>
      </c>
      <c r="E38" s="18" t="s">
        <v>90</v>
      </c>
      <c r="F38" s="18">
        <v>30</v>
      </c>
      <c r="G38" s="17">
        <v>570</v>
      </c>
      <c r="H38" s="17">
        <v>240</v>
      </c>
    </row>
    <row r="39" spans="1:8" x14ac:dyDescent="0.25">
      <c r="A39" s="19">
        <v>40553</v>
      </c>
      <c r="B39" s="18" t="s">
        <v>73</v>
      </c>
      <c r="C39" s="18" t="s">
        <v>61</v>
      </c>
      <c r="D39" s="18" t="s">
        <v>58</v>
      </c>
      <c r="E39" s="18" t="s">
        <v>92</v>
      </c>
      <c r="F39" s="18">
        <v>47</v>
      </c>
      <c r="G39" s="17">
        <v>987</v>
      </c>
      <c r="H39" s="17">
        <v>434.75</v>
      </c>
    </row>
    <row r="40" spans="1:8" x14ac:dyDescent="0.25">
      <c r="A40" s="19">
        <v>40553</v>
      </c>
      <c r="B40" s="18" t="s">
        <v>56</v>
      </c>
      <c r="C40" s="18" t="s">
        <v>64</v>
      </c>
      <c r="D40" s="18" t="s">
        <v>82</v>
      </c>
      <c r="E40" s="18" t="s">
        <v>63</v>
      </c>
      <c r="F40" s="18">
        <v>65</v>
      </c>
      <c r="G40" s="17">
        <v>1755</v>
      </c>
      <c r="H40" s="17">
        <v>942.5</v>
      </c>
    </row>
    <row r="41" spans="1:8" x14ac:dyDescent="0.25">
      <c r="A41" s="19">
        <v>40554</v>
      </c>
      <c r="B41" s="18" t="s">
        <v>56</v>
      </c>
      <c r="C41" s="18" t="s">
        <v>57</v>
      </c>
      <c r="D41" s="18" t="s">
        <v>78</v>
      </c>
      <c r="E41" s="18" t="s">
        <v>93</v>
      </c>
      <c r="F41" s="18">
        <v>14</v>
      </c>
      <c r="G41" s="17">
        <v>378</v>
      </c>
      <c r="H41" s="17">
        <v>203</v>
      </c>
    </row>
    <row r="42" spans="1:8" x14ac:dyDescent="0.25">
      <c r="A42" s="19">
        <v>40554</v>
      </c>
      <c r="B42" s="18" t="s">
        <v>56</v>
      </c>
      <c r="C42" s="18" t="s">
        <v>57</v>
      </c>
      <c r="D42" s="18" t="s">
        <v>82</v>
      </c>
      <c r="E42" s="18" t="s">
        <v>76</v>
      </c>
      <c r="F42" s="18">
        <v>49</v>
      </c>
      <c r="G42" s="17">
        <v>1323</v>
      </c>
      <c r="H42" s="17">
        <v>710.5</v>
      </c>
    </row>
    <row r="43" spans="1:8" x14ac:dyDescent="0.25">
      <c r="A43" s="19">
        <v>40555</v>
      </c>
      <c r="B43" s="18" t="s">
        <v>73</v>
      </c>
      <c r="C43" s="18" t="s">
        <v>71</v>
      </c>
      <c r="D43" s="18" t="s">
        <v>62</v>
      </c>
      <c r="E43" s="18" t="s">
        <v>93</v>
      </c>
      <c r="F43" s="18">
        <v>19</v>
      </c>
      <c r="G43" s="17">
        <v>399</v>
      </c>
      <c r="H43" s="17">
        <v>175.75</v>
      </c>
    </row>
    <row r="44" spans="1:8" x14ac:dyDescent="0.25">
      <c r="A44" s="19">
        <v>40555</v>
      </c>
      <c r="B44" s="18" t="s">
        <v>60</v>
      </c>
      <c r="C44" s="18" t="s">
        <v>61</v>
      </c>
      <c r="D44" s="18" t="s">
        <v>72</v>
      </c>
      <c r="E44" s="18" t="s">
        <v>87</v>
      </c>
      <c r="F44" s="18">
        <v>7</v>
      </c>
      <c r="G44" s="17">
        <v>154</v>
      </c>
      <c r="H44" s="17">
        <v>70</v>
      </c>
    </row>
    <row r="45" spans="1:8" x14ac:dyDescent="0.25">
      <c r="A45" s="19">
        <v>40556</v>
      </c>
      <c r="B45" s="18" t="s">
        <v>60</v>
      </c>
      <c r="C45" s="18" t="s">
        <v>71</v>
      </c>
      <c r="D45" s="18" t="s">
        <v>65</v>
      </c>
      <c r="E45" s="18" t="s">
        <v>94</v>
      </c>
      <c r="F45" s="18">
        <v>57</v>
      </c>
      <c r="G45" s="17">
        <v>1254</v>
      </c>
      <c r="H45" s="17">
        <v>570</v>
      </c>
    </row>
    <row r="46" spans="1:8" x14ac:dyDescent="0.25">
      <c r="A46" s="19">
        <v>40556</v>
      </c>
      <c r="B46" s="18" t="s">
        <v>68</v>
      </c>
      <c r="C46" s="18" t="s">
        <v>71</v>
      </c>
      <c r="D46" s="18" t="s">
        <v>65</v>
      </c>
      <c r="E46" s="18" t="s">
        <v>81</v>
      </c>
      <c r="F46" s="18">
        <v>33</v>
      </c>
      <c r="G46" s="17">
        <v>627</v>
      </c>
      <c r="H46" s="17">
        <v>264</v>
      </c>
    </row>
    <row r="47" spans="1:8" x14ac:dyDescent="0.25">
      <c r="A47" s="19">
        <v>40556</v>
      </c>
      <c r="B47" s="18" t="s">
        <v>60</v>
      </c>
      <c r="C47" s="18" t="s">
        <v>71</v>
      </c>
      <c r="D47" s="18" t="s">
        <v>65</v>
      </c>
      <c r="E47" s="18" t="s">
        <v>81</v>
      </c>
      <c r="F47" s="18">
        <v>40</v>
      </c>
      <c r="G47" s="17">
        <v>880</v>
      </c>
      <c r="H47" s="17">
        <v>400</v>
      </c>
    </row>
    <row r="48" spans="1:8" x14ac:dyDescent="0.25">
      <c r="A48" s="19">
        <v>40556</v>
      </c>
      <c r="B48" s="18" t="s">
        <v>70</v>
      </c>
      <c r="C48" s="18" t="s">
        <v>61</v>
      </c>
      <c r="D48" s="18" t="s">
        <v>82</v>
      </c>
      <c r="E48" s="18" t="s">
        <v>69</v>
      </c>
      <c r="F48" s="18">
        <v>52</v>
      </c>
      <c r="G48" s="17">
        <v>1196</v>
      </c>
      <c r="H48" s="17">
        <v>572</v>
      </c>
    </row>
    <row r="49" spans="1:8" x14ac:dyDescent="0.25">
      <c r="A49" s="19">
        <v>40557</v>
      </c>
      <c r="B49" s="18" t="s">
        <v>70</v>
      </c>
      <c r="C49" s="18" t="s">
        <v>57</v>
      </c>
      <c r="D49" s="18" t="s">
        <v>78</v>
      </c>
      <c r="E49" s="18" t="s">
        <v>95</v>
      </c>
      <c r="F49" s="18">
        <v>34</v>
      </c>
      <c r="G49" s="17">
        <v>782</v>
      </c>
      <c r="H49" s="17">
        <v>374</v>
      </c>
    </row>
    <row r="50" spans="1:8" x14ac:dyDescent="0.25">
      <c r="A50" s="19">
        <v>40558</v>
      </c>
      <c r="B50" s="18" t="s">
        <v>73</v>
      </c>
      <c r="C50" s="18" t="s">
        <v>57</v>
      </c>
      <c r="D50" s="18" t="s">
        <v>62</v>
      </c>
      <c r="E50" s="18" t="s">
        <v>66</v>
      </c>
      <c r="F50" s="18">
        <v>63</v>
      </c>
      <c r="G50" s="17">
        <v>1323</v>
      </c>
      <c r="H50" s="17">
        <v>582.75</v>
      </c>
    </row>
    <row r="51" spans="1:8" x14ac:dyDescent="0.25">
      <c r="A51" s="19">
        <v>40558</v>
      </c>
      <c r="B51" s="18" t="s">
        <v>68</v>
      </c>
      <c r="C51" s="18" t="s">
        <v>71</v>
      </c>
      <c r="D51" s="18" t="s">
        <v>72</v>
      </c>
      <c r="E51" s="18" t="s">
        <v>96</v>
      </c>
      <c r="F51" s="18">
        <v>11</v>
      </c>
      <c r="G51" s="17">
        <v>209</v>
      </c>
      <c r="H51" s="17">
        <v>88</v>
      </c>
    </row>
    <row r="52" spans="1:8" x14ac:dyDescent="0.25">
      <c r="A52" s="19">
        <v>40559</v>
      </c>
      <c r="B52" s="18" t="s">
        <v>60</v>
      </c>
      <c r="C52" s="18" t="s">
        <v>71</v>
      </c>
      <c r="D52" s="18" t="s">
        <v>58</v>
      </c>
      <c r="E52" s="18" t="s">
        <v>96</v>
      </c>
      <c r="F52" s="18">
        <v>56</v>
      </c>
      <c r="G52" s="17">
        <v>1232</v>
      </c>
      <c r="H52" s="17">
        <v>560</v>
      </c>
    </row>
    <row r="53" spans="1:8" x14ac:dyDescent="0.25">
      <c r="A53" s="19">
        <v>40559</v>
      </c>
      <c r="B53" s="18" t="s">
        <v>70</v>
      </c>
      <c r="C53" s="18" t="s">
        <v>61</v>
      </c>
      <c r="D53" s="18" t="s">
        <v>82</v>
      </c>
      <c r="E53" s="18" t="s">
        <v>83</v>
      </c>
      <c r="F53" s="18">
        <v>31</v>
      </c>
      <c r="G53" s="17">
        <v>713</v>
      </c>
      <c r="H53" s="17">
        <v>341</v>
      </c>
    </row>
    <row r="54" spans="1:8" x14ac:dyDescent="0.25">
      <c r="A54" s="19">
        <v>40560</v>
      </c>
      <c r="B54" s="18" t="s">
        <v>56</v>
      </c>
      <c r="C54" s="18" t="s">
        <v>57</v>
      </c>
      <c r="D54" s="18" t="s">
        <v>78</v>
      </c>
      <c r="E54" s="18" t="s">
        <v>88</v>
      </c>
      <c r="F54" s="18">
        <v>62</v>
      </c>
      <c r="G54" s="17">
        <v>1674</v>
      </c>
      <c r="H54" s="17">
        <v>899</v>
      </c>
    </row>
    <row r="55" spans="1:8" x14ac:dyDescent="0.25">
      <c r="A55" s="19">
        <v>40560</v>
      </c>
      <c r="B55" s="18" t="s">
        <v>56</v>
      </c>
      <c r="C55" s="18" t="s">
        <v>57</v>
      </c>
      <c r="D55" s="18" t="s">
        <v>62</v>
      </c>
      <c r="E55" s="18" t="s">
        <v>67</v>
      </c>
      <c r="F55" s="18">
        <v>43</v>
      </c>
      <c r="G55" s="17">
        <v>1161</v>
      </c>
      <c r="H55" s="17">
        <v>623.5</v>
      </c>
    </row>
    <row r="56" spans="1:8" x14ac:dyDescent="0.25">
      <c r="A56" s="19">
        <v>40560</v>
      </c>
      <c r="B56" s="18" t="s">
        <v>70</v>
      </c>
      <c r="C56" s="18" t="s">
        <v>57</v>
      </c>
      <c r="D56" s="18" t="s">
        <v>58</v>
      </c>
      <c r="E56" s="18" t="s">
        <v>75</v>
      </c>
      <c r="F56" s="18">
        <v>39</v>
      </c>
      <c r="G56" s="17">
        <v>897</v>
      </c>
      <c r="H56" s="17">
        <v>429</v>
      </c>
    </row>
    <row r="57" spans="1:8" x14ac:dyDescent="0.25">
      <c r="A57" s="19">
        <v>40560</v>
      </c>
      <c r="B57" s="18" t="s">
        <v>56</v>
      </c>
      <c r="C57" s="18" t="s">
        <v>71</v>
      </c>
      <c r="D57" s="18" t="s">
        <v>72</v>
      </c>
      <c r="E57" s="18" t="s">
        <v>89</v>
      </c>
      <c r="F57" s="18">
        <v>61</v>
      </c>
      <c r="G57" s="17">
        <v>1647</v>
      </c>
      <c r="H57" s="17">
        <v>884.5</v>
      </c>
    </row>
    <row r="58" spans="1:8" x14ac:dyDescent="0.25">
      <c r="A58" s="19">
        <v>40560</v>
      </c>
      <c r="B58" s="18" t="s">
        <v>68</v>
      </c>
      <c r="C58" s="18" t="s">
        <v>71</v>
      </c>
      <c r="D58" s="18" t="s">
        <v>78</v>
      </c>
      <c r="E58" s="18" t="s">
        <v>85</v>
      </c>
      <c r="F58" s="18">
        <v>59</v>
      </c>
      <c r="G58" s="17">
        <v>1121</v>
      </c>
      <c r="H58" s="17">
        <v>472</v>
      </c>
    </row>
    <row r="59" spans="1:8" x14ac:dyDescent="0.25">
      <c r="A59" s="19">
        <v>40560</v>
      </c>
      <c r="B59" s="18" t="s">
        <v>60</v>
      </c>
      <c r="C59" s="18" t="s">
        <v>71</v>
      </c>
      <c r="D59" s="18" t="s">
        <v>82</v>
      </c>
      <c r="E59" s="18" t="s">
        <v>75</v>
      </c>
      <c r="F59" s="18">
        <v>16</v>
      </c>
      <c r="G59" s="17">
        <v>352</v>
      </c>
      <c r="H59" s="17">
        <v>160</v>
      </c>
    </row>
    <row r="60" spans="1:8" x14ac:dyDescent="0.25">
      <c r="A60" s="19">
        <v>40560</v>
      </c>
      <c r="B60" s="18" t="s">
        <v>56</v>
      </c>
      <c r="C60" s="18" t="s">
        <v>64</v>
      </c>
      <c r="D60" s="18" t="s">
        <v>72</v>
      </c>
      <c r="E60" s="18" t="s">
        <v>75</v>
      </c>
      <c r="F60" s="18">
        <v>10</v>
      </c>
      <c r="G60" s="17">
        <v>270</v>
      </c>
      <c r="H60" s="17">
        <v>145</v>
      </c>
    </row>
    <row r="61" spans="1:8" x14ac:dyDescent="0.25">
      <c r="A61" s="19">
        <v>40561</v>
      </c>
      <c r="B61" s="18" t="s">
        <v>68</v>
      </c>
      <c r="C61" s="18" t="s">
        <v>57</v>
      </c>
      <c r="D61" s="18" t="s">
        <v>78</v>
      </c>
      <c r="E61" s="18" t="s">
        <v>59</v>
      </c>
      <c r="F61" s="18">
        <v>24</v>
      </c>
      <c r="G61" s="17">
        <v>456</v>
      </c>
      <c r="H61" s="17">
        <v>192</v>
      </c>
    </row>
    <row r="62" spans="1:8" x14ac:dyDescent="0.25">
      <c r="A62" s="19">
        <v>40561</v>
      </c>
      <c r="B62" s="18" t="s">
        <v>60</v>
      </c>
      <c r="C62" s="18" t="s">
        <v>57</v>
      </c>
      <c r="D62" s="18" t="s">
        <v>78</v>
      </c>
      <c r="E62" s="18" t="s">
        <v>97</v>
      </c>
      <c r="F62" s="18">
        <v>20</v>
      </c>
      <c r="G62" s="17">
        <v>440</v>
      </c>
      <c r="H62" s="17">
        <v>200</v>
      </c>
    </row>
    <row r="63" spans="1:8" x14ac:dyDescent="0.25">
      <c r="A63" s="19">
        <v>40561</v>
      </c>
      <c r="B63" s="18" t="s">
        <v>73</v>
      </c>
      <c r="C63" s="18" t="s">
        <v>57</v>
      </c>
      <c r="D63" s="18" t="s">
        <v>62</v>
      </c>
      <c r="E63" s="18" t="s">
        <v>98</v>
      </c>
      <c r="F63" s="18">
        <v>12</v>
      </c>
      <c r="G63" s="17">
        <v>252</v>
      </c>
      <c r="H63" s="17">
        <v>111</v>
      </c>
    </row>
    <row r="64" spans="1:8" x14ac:dyDescent="0.25">
      <c r="A64" s="19">
        <v>40561</v>
      </c>
      <c r="B64" s="18" t="s">
        <v>60</v>
      </c>
      <c r="C64" s="18" t="s">
        <v>57</v>
      </c>
      <c r="D64" s="18" t="s">
        <v>65</v>
      </c>
      <c r="E64" s="18" t="s">
        <v>91</v>
      </c>
      <c r="F64" s="18">
        <v>59</v>
      </c>
      <c r="G64" s="17">
        <v>1298</v>
      </c>
      <c r="H64" s="17">
        <v>590</v>
      </c>
    </row>
    <row r="65" spans="1:8" x14ac:dyDescent="0.25">
      <c r="A65" s="19">
        <v>40561</v>
      </c>
      <c r="B65" s="18" t="s">
        <v>68</v>
      </c>
      <c r="C65" s="18" t="s">
        <v>71</v>
      </c>
      <c r="D65" s="18" t="s">
        <v>72</v>
      </c>
      <c r="E65" s="18" t="s">
        <v>75</v>
      </c>
      <c r="F65" s="18">
        <v>62</v>
      </c>
      <c r="G65" s="17">
        <v>1178</v>
      </c>
      <c r="H65" s="17">
        <v>496</v>
      </c>
    </row>
    <row r="66" spans="1:8" x14ac:dyDescent="0.25">
      <c r="A66" s="19">
        <v>40561</v>
      </c>
      <c r="B66" s="18" t="s">
        <v>56</v>
      </c>
      <c r="C66" s="18" t="s">
        <v>71</v>
      </c>
      <c r="D66" s="18" t="s">
        <v>82</v>
      </c>
      <c r="E66" s="18" t="s">
        <v>94</v>
      </c>
      <c r="F66" s="18">
        <v>17</v>
      </c>
      <c r="G66" s="17">
        <v>459</v>
      </c>
      <c r="H66" s="17">
        <v>246.5</v>
      </c>
    </row>
    <row r="67" spans="1:8" x14ac:dyDescent="0.25">
      <c r="A67" s="19">
        <v>40561</v>
      </c>
      <c r="B67" s="18" t="s">
        <v>70</v>
      </c>
      <c r="C67" s="18" t="s">
        <v>61</v>
      </c>
      <c r="D67" s="18" t="s">
        <v>82</v>
      </c>
      <c r="E67" s="18" t="s">
        <v>96</v>
      </c>
      <c r="F67" s="18">
        <v>53</v>
      </c>
      <c r="G67" s="17">
        <v>1219</v>
      </c>
      <c r="H67" s="17">
        <v>583</v>
      </c>
    </row>
    <row r="68" spans="1:8" x14ac:dyDescent="0.25">
      <c r="A68" s="19">
        <v>40561</v>
      </c>
      <c r="B68" s="18" t="s">
        <v>68</v>
      </c>
      <c r="C68" s="18" t="s">
        <v>64</v>
      </c>
      <c r="D68" s="18" t="s">
        <v>58</v>
      </c>
      <c r="E68" s="18" t="s">
        <v>66</v>
      </c>
      <c r="F68" s="18">
        <v>8</v>
      </c>
      <c r="G68" s="17">
        <v>152</v>
      </c>
      <c r="H68" s="17">
        <v>64</v>
      </c>
    </row>
    <row r="69" spans="1:8" x14ac:dyDescent="0.25">
      <c r="A69" s="19">
        <v>40562</v>
      </c>
      <c r="B69" s="18" t="s">
        <v>60</v>
      </c>
      <c r="C69" s="18" t="s">
        <v>61</v>
      </c>
      <c r="D69" s="18" t="s">
        <v>58</v>
      </c>
      <c r="E69" s="18" t="s">
        <v>86</v>
      </c>
      <c r="F69" s="18">
        <v>35</v>
      </c>
      <c r="G69" s="17">
        <v>770</v>
      </c>
      <c r="H69" s="17">
        <v>350</v>
      </c>
    </row>
    <row r="70" spans="1:8" x14ac:dyDescent="0.25">
      <c r="A70" s="19">
        <v>40563</v>
      </c>
      <c r="B70" s="18" t="s">
        <v>70</v>
      </c>
      <c r="C70" s="18" t="s">
        <v>57</v>
      </c>
      <c r="D70" s="18" t="s">
        <v>72</v>
      </c>
      <c r="E70" s="18" t="s">
        <v>79</v>
      </c>
      <c r="F70" s="18">
        <v>59</v>
      </c>
      <c r="G70" s="17">
        <v>1357</v>
      </c>
      <c r="H70" s="17">
        <v>649</v>
      </c>
    </row>
    <row r="71" spans="1:8" x14ac:dyDescent="0.25">
      <c r="A71" s="19">
        <v>40563</v>
      </c>
      <c r="B71" s="18" t="s">
        <v>60</v>
      </c>
      <c r="C71" s="18" t="s">
        <v>57</v>
      </c>
      <c r="D71" s="18" t="s">
        <v>62</v>
      </c>
      <c r="E71" s="18" t="s">
        <v>81</v>
      </c>
      <c r="F71" s="18">
        <v>10</v>
      </c>
      <c r="G71" s="17">
        <v>220</v>
      </c>
      <c r="H71" s="17">
        <v>100</v>
      </c>
    </row>
    <row r="72" spans="1:8" x14ac:dyDescent="0.25">
      <c r="A72" s="19">
        <v>40563</v>
      </c>
      <c r="B72" s="18" t="s">
        <v>68</v>
      </c>
      <c r="C72" s="18" t="s">
        <v>64</v>
      </c>
      <c r="D72" s="18" t="s">
        <v>58</v>
      </c>
      <c r="E72" s="18" t="s">
        <v>96</v>
      </c>
      <c r="F72" s="18">
        <v>58</v>
      </c>
      <c r="G72" s="17">
        <v>1102</v>
      </c>
      <c r="H72" s="17">
        <v>464</v>
      </c>
    </row>
    <row r="73" spans="1:8" x14ac:dyDescent="0.25">
      <c r="A73" s="19">
        <v>40564</v>
      </c>
      <c r="B73" s="18" t="s">
        <v>56</v>
      </c>
      <c r="C73" s="18" t="s">
        <v>57</v>
      </c>
      <c r="D73" s="18" t="s">
        <v>72</v>
      </c>
      <c r="E73" s="18" t="s">
        <v>69</v>
      </c>
      <c r="F73" s="18">
        <v>58</v>
      </c>
      <c r="G73" s="17">
        <v>1566</v>
      </c>
      <c r="H73" s="17">
        <v>841</v>
      </c>
    </row>
    <row r="74" spans="1:8" x14ac:dyDescent="0.25">
      <c r="A74" s="19">
        <v>40564</v>
      </c>
      <c r="B74" s="18" t="s">
        <v>68</v>
      </c>
      <c r="C74" s="18" t="s">
        <v>71</v>
      </c>
      <c r="D74" s="18" t="s">
        <v>65</v>
      </c>
      <c r="E74" s="18" t="s">
        <v>91</v>
      </c>
      <c r="F74" s="18">
        <v>23</v>
      </c>
      <c r="G74" s="17">
        <v>437</v>
      </c>
      <c r="H74" s="17">
        <v>184</v>
      </c>
    </row>
    <row r="75" spans="1:8" x14ac:dyDescent="0.25">
      <c r="A75" s="19">
        <v>40564</v>
      </c>
      <c r="B75" s="18" t="s">
        <v>68</v>
      </c>
      <c r="C75" s="18" t="s">
        <v>71</v>
      </c>
      <c r="D75" s="18" t="s">
        <v>82</v>
      </c>
      <c r="E75" s="18" t="s">
        <v>83</v>
      </c>
      <c r="F75" s="18">
        <v>64</v>
      </c>
      <c r="G75" s="17">
        <v>1216</v>
      </c>
      <c r="H75" s="17">
        <v>512</v>
      </c>
    </row>
    <row r="76" spans="1:8" x14ac:dyDescent="0.25">
      <c r="A76" s="19">
        <v>40564</v>
      </c>
      <c r="B76" s="18" t="s">
        <v>73</v>
      </c>
      <c r="C76" s="18" t="s">
        <v>61</v>
      </c>
      <c r="D76" s="18" t="s">
        <v>65</v>
      </c>
      <c r="E76" s="18" t="s">
        <v>85</v>
      </c>
      <c r="F76" s="18">
        <v>13</v>
      </c>
      <c r="G76" s="17">
        <v>273</v>
      </c>
      <c r="H76" s="17">
        <v>120.25</v>
      </c>
    </row>
    <row r="77" spans="1:8" x14ac:dyDescent="0.25">
      <c r="A77" s="19">
        <v>40564</v>
      </c>
      <c r="B77" s="18" t="s">
        <v>60</v>
      </c>
      <c r="C77" s="18" t="s">
        <v>61</v>
      </c>
      <c r="D77" s="18" t="s">
        <v>82</v>
      </c>
      <c r="E77" s="18" t="s">
        <v>90</v>
      </c>
      <c r="F77" s="18">
        <v>11</v>
      </c>
      <c r="G77" s="17">
        <v>242</v>
      </c>
      <c r="H77" s="17">
        <v>110</v>
      </c>
    </row>
    <row r="78" spans="1:8" x14ac:dyDescent="0.25">
      <c r="A78" s="19">
        <v>40564</v>
      </c>
      <c r="B78" s="18" t="s">
        <v>56</v>
      </c>
      <c r="C78" s="18" t="s">
        <v>64</v>
      </c>
      <c r="D78" s="18" t="s">
        <v>62</v>
      </c>
      <c r="E78" s="18" t="s">
        <v>93</v>
      </c>
      <c r="F78" s="18">
        <v>56</v>
      </c>
      <c r="G78" s="17">
        <v>1512</v>
      </c>
      <c r="H78" s="17">
        <v>812</v>
      </c>
    </row>
    <row r="79" spans="1:8" x14ac:dyDescent="0.25">
      <c r="A79" s="19">
        <v>40565</v>
      </c>
      <c r="B79" s="18" t="s">
        <v>56</v>
      </c>
      <c r="C79" s="18" t="s">
        <v>61</v>
      </c>
      <c r="D79" s="18" t="s">
        <v>78</v>
      </c>
      <c r="E79" s="18" t="s">
        <v>69</v>
      </c>
      <c r="F79" s="18">
        <v>29</v>
      </c>
      <c r="G79" s="17">
        <v>783</v>
      </c>
      <c r="H79" s="17">
        <v>420.5</v>
      </c>
    </row>
    <row r="80" spans="1:8" x14ac:dyDescent="0.25">
      <c r="A80" s="19">
        <v>40565</v>
      </c>
      <c r="B80" s="18" t="s">
        <v>70</v>
      </c>
      <c r="C80" s="18" t="s">
        <v>61</v>
      </c>
      <c r="D80" s="18" t="s">
        <v>82</v>
      </c>
      <c r="E80" s="18" t="s">
        <v>63</v>
      </c>
      <c r="F80" s="18">
        <v>29</v>
      </c>
      <c r="G80" s="17">
        <v>667</v>
      </c>
      <c r="H80" s="17">
        <v>319</v>
      </c>
    </row>
    <row r="81" spans="1:8" x14ac:dyDescent="0.25">
      <c r="A81" s="19">
        <v>40565</v>
      </c>
      <c r="B81" s="18" t="s">
        <v>60</v>
      </c>
      <c r="C81" s="18" t="s">
        <v>64</v>
      </c>
      <c r="D81" s="18" t="s">
        <v>65</v>
      </c>
      <c r="E81" s="18" t="s">
        <v>66</v>
      </c>
      <c r="F81" s="18">
        <v>53</v>
      </c>
      <c r="G81" s="17">
        <v>1166</v>
      </c>
      <c r="H81" s="17">
        <v>530</v>
      </c>
    </row>
    <row r="82" spans="1:8" x14ac:dyDescent="0.25">
      <c r="A82" s="19">
        <v>40565</v>
      </c>
      <c r="B82" s="18" t="s">
        <v>60</v>
      </c>
      <c r="C82" s="18" t="s">
        <v>64</v>
      </c>
      <c r="D82" s="18" t="s">
        <v>58</v>
      </c>
      <c r="E82" s="18" t="s">
        <v>96</v>
      </c>
      <c r="F82" s="18">
        <v>35</v>
      </c>
      <c r="G82" s="17">
        <v>770</v>
      </c>
      <c r="H82" s="17">
        <v>350</v>
      </c>
    </row>
    <row r="83" spans="1:8" x14ac:dyDescent="0.25">
      <c r="A83" s="19">
        <v>40565</v>
      </c>
      <c r="B83" s="18" t="s">
        <v>60</v>
      </c>
      <c r="C83" s="18" t="s">
        <v>64</v>
      </c>
      <c r="D83" s="18" t="s">
        <v>82</v>
      </c>
      <c r="E83" s="18" t="s">
        <v>87</v>
      </c>
      <c r="F83" s="18">
        <v>6</v>
      </c>
      <c r="G83" s="17">
        <v>132</v>
      </c>
      <c r="H83" s="17">
        <v>60</v>
      </c>
    </row>
    <row r="84" spans="1:8" x14ac:dyDescent="0.25">
      <c r="A84" s="19">
        <v>40566</v>
      </c>
      <c r="B84" s="18" t="s">
        <v>56</v>
      </c>
      <c r="C84" s="18" t="s">
        <v>57</v>
      </c>
      <c r="D84" s="18" t="s">
        <v>78</v>
      </c>
      <c r="E84" s="18" t="s">
        <v>75</v>
      </c>
      <c r="F84" s="18">
        <v>44</v>
      </c>
      <c r="G84" s="17">
        <v>1188</v>
      </c>
      <c r="H84" s="17">
        <v>638</v>
      </c>
    </row>
    <row r="85" spans="1:8" x14ac:dyDescent="0.25">
      <c r="A85" s="19">
        <v>40566</v>
      </c>
      <c r="B85" s="18" t="s">
        <v>60</v>
      </c>
      <c r="C85" s="18" t="s">
        <v>57</v>
      </c>
      <c r="D85" s="18" t="s">
        <v>62</v>
      </c>
      <c r="E85" s="18" t="s">
        <v>97</v>
      </c>
      <c r="F85" s="18">
        <v>9</v>
      </c>
      <c r="G85" s="17">
        <v>198</v>
      </c>
      <c r="H85" s="17">
        <v>90</v>
      </c>
    </row>
    <row r="86" spans="1:8" x14ac:dyDescent="0.25">
      <c r="A86" s="19">
        <v>40566</v>
      </c>
      <c r="B86" s="18" t="s">
        <v>56</v>
      </c>
      <c r="C86" s="18" t="s">
        <v>57</v>
      </c>
      <c r="D86" s="18" t="s">
        <v>65</v>
      </c>
      <c r="E86" s="18" t="s">
        <v>87</v>
      </c>
      <c r="F86" s="18">
        <v>22</v>
      </c>
      <c r="G86" s="17">
        <v>594</v>
      </c>
      <c r="H86" s="17">
        <v>319</v>
      </c>
    </row>
    <row r="87" spans="1:8" x14ac:dyDescent="0.25">
      <c r="A87" s="19">
        <v>40566</v>
      </c>
      <c r="B87" s="18" t="s">
        <v>68</v>
      </c>
      <c r="C87" s="18" t="s">
        <v>61</v>
      </c>
      <c r="D87" s="18" t="s">
        <v>72</v>
      </c>
      <c r="E87" s="18" t="s">
        <v>86</v>
      </c>
      <c r="F87" s="18">
        <v>49</v>
      </c>
      <c r="G87" s="17">
        <v>931</v>
      </c>
      <c r="H87" s="17">
        <v>392</v>
      </c>
    </row>
    <row r="88" spans="1:8" x14ac:dyDescent="0.25">
      <c r="A88" s="19">
        <v>40567</v>
      </c>
      <c r="B88" s="18" t="s">
        <v>70</v>
      </c>
      <c r="C88" s="18" t="s">
        <v>71</v>
      </c>
      <c r="D88" s="18" t="s">
        <v>78</v>
      </c>
      <c r="E88" s="18" t="s">
        <v>76</v>
      </c>
      <c r="F88" s="18">
        <v>13</v>
      </c>
      <c r="G88" s="17">
        <v>299</v>
      </c>
      <c r="H88" s="17">
        <v>143</v>
      </c>
    </row>
    <row r="89" spans="1:8" x14ac:dyDescent="0.25">
      <c r="A89" s="19">
        <v>40567</v>
      </c>
      <c r="B89" s="18" t="s">
        <v>56</v>
      </c>
      <c r="C89" s="18" t="s">
        <v>64</v>
      </c>
      <c r="D89" s="18" t="s">
        <v>62</v>
      </c>
      <c r="E89" s="18" t="s">
        <v>88</v>
      </c>
      <c r="F89" s="18">
        <v>63</v>
      </c>
      <c r="G89" s="17">
        <v>1701</v>
      </c>
      <c r="H89" s="17">
        <v>913.5</v>
      </c>
    </row>
    <row r="90" spans="1:8" x14ac:dyDescent="0.25">
      <c r="A90" s="19">
        <v>40568</v>
      </c>
      <c r="B90" s="18" t="s">
        <v>68</v>
      </c>
      <c r="C90" s="18" t="s">
        <v>71</v>
      </c>
      <c r="D90" s="18" t="s">
        <v>78</v>
      </c>
      <c r="E90" s="18" t="s">
        <v>95</v>
      </c>
      <c r="F90" s="18">
        <v>21</v>
      </c>
      <c r="G90" s="17">
        <v>399</v>
      </c>
      <c r="H90" s="17">
        <v>168</v>
      </c>
    </row>
    <row r="91" spans="1:8" x14ac:dyDescent="0.25">
      <c r="A91" s="19">
        <v>40569</v>
      </c>
      <c r="B91" s="18" t="s">
        <v>60</v>
      </c>
      <c r="C91" s="18" t="s">
        <v>57</v>
      </c>
      <c r="D91" s="18" t="s">
        <v>72</v>
      </c>
      <c r="E91" s="18" t="s">
        <v>84</v>
      </c>
      <c r="F91" s="18">
        <v>17</v>
      </c>
      <c r="G91" s="17">
        <v>374</v>
      </c>
      <c r="H91" s="17">
        <v>170</v>
      </c>
    </row>
    <row r="92" spans="1:8" x14ac:dyDescent="0.25">
      <c r="A92" s="19">
        <v>40569</v>
      </c>
      <c r="B92" s="18" t="s">
        <v>60</v>
      </c>
      <c r="C92" s="18" t="s">
        <v>71</v>
      </c>
      <c r="D92" s="18" t="s">
        <v>62</v>
      </c>
      <c r="E92" s="18" t="s">
        <v>81</v>
      </c>
      <c r="F92" s="18">
        <v>21</v>
      </c>
      <c r="G92" s="17">
        <v>462</v>
      </c>
      <c r="H92" s="17">
        <v>210</v>
      </c>
    </row>
    <row r="93" spans="1:8" x14ac:dyDescent="0.25">
      <c r="A93" s="19">
        <v>40569</v>
      </c>
      <c r="B93" s="18" t="s">
        <v>73</v>
      </c>
      <c r="C93" s="18" t="s">
        <v>61</v>
      </c>
      <c r="D93" s="18" t="s">
        <v>58</v>
      </c>
      <c r="E93" s="18" t="s">
        <v>97</v>
      </c>
      <c r="F93" s="18">
        <v>44</v>
      </c>
      <c r="G93" s="17">
        <v>924</v>
      </c>
      <c r="H93" s="17">
        <v>407</v>
      </c>
    </row>
    <row r="94" spans="1:8" x14ac:dyDescent="0.25">
      <c r="A94" s="19">
        <v>40569</v>
      </c>
      <c r="B94" s="18" t="s">
        <v>60</v>
      </c>
      <c r="C94" s="18" t="s">
        <v>64</v>
      </c>
      <c r="D94" s="18" t="s">
        <v>65</v>
      </c>
      <c r="E94" s="18" t="s">
        <v>99</v>
      </c>
      <c r="F94" s="18">
        <v>61</v>
      </c>
      <c r="G94" s="17">
        <v>5000</v>
      </c>
      <c r="H94" s="17">
        <v>610</v>
      </c>
    </row>
    <row r="95" spans="1:8" x14ac:dyDescent="0.25">
      <c r="A95" s="19">
        <v>40570</v>
      </c>
      <c r="B95" s="18" t="s">
        <v>70</v>
      </c>
      <c r="C95" s="18" t="s">
        <v>64</v>
      </c>
      <c r="D95" s="18" t="s">
        <v>62</v>
      </c>
      <c r="E95" s="18" t="s">
        <v>83</v>
      </c>
      <c r="F95" s="18">
        <v>10</v>
      </c>
      <c r="G95" s="17">
        <v>230</v>
      </c>
      <c r="H95" s="17">
        <v>110</v>
      </c>
    </row>
    <row r="96" spans="1:8" x14ac:dyDescent="0.25">
      <c r="A96" s="19">
        <v>40571</v>
      </c>
      <c r="B96" s="18" t="s">
        <v>73</v>
      </c>
      <c r="C96" s="18" t="s">
        <v>57</v>
      </c>
      <c r="D96" s="18" t="s">
        <v>82</v>
      </c>
      <c r="E96" s="18" t="s">
        <v>100</v>
      </c>
      <c r="F96" s="18">
        <v>36</v>
      </c>
      <c r="G96" s="17">
        <v>756</v>
      </c>
      <c r="H96" s="17">
        <v>333</v>
      </c>
    </row>
    <row r="97" spans="1:8" x14ac:dyDescent="0.25">
      <c r="A97" s="19">
        <v>40571</v>
      </c>
      <c r="B97" s="18" t="s">
        <v>56</v>
      </c>
      <c r="C97" s="18" t="s">
        <v>71</v>
      </c>
      <c r="D97" s="18" t="s">
        <v>82</v>
      </c>
      <c r="E97" s="18" t="s">
        <v>96</v>
      </c>
      <c r="F97" s="18">
        <v>42</v>
      </c>
      <c r="G97" s="17">
        <v>1134</v>
      </c>
      <c r="H97" s="17">
        <v>609</v>
      </c>
    </row>
    <row r="98" spans="1:8" x14ac:dyDescent="0.25">
      <c r="A98" s="19">
        <v>40571</v>
      </c>
      <c r="B98" s="18" t="s">
        <v>70</v>
      </c>
      <c r="C98" s="18" t="s">
        <v>61</v>
      </c>
      <c r="D98" s="18" t="s">
        <v>78</v>
      </c>
      <c r="E98" s="18" t="s">
        <v>98</v>
      </c>
      <c r="F98" s="18">
        <v>46</v>
      </c>
      <c r="G98" s="17">
        <v>1058</v>
      </c>
      <c r="H98" s="17">
        <v>506</v>
      </c>
    </row>
    <row r="99" spans="1:8" x14ac:dyDescent="0.25">
      <c r="A99" s="19">
        <v>40571</v>
      </c>
      <c r="B99" s="18" t="s">
        <v>56</v>
      </c>
      <c r="C99" s="18" t="s">
        <v>61</v>
      </c>
      <c r="D99" s="18" t="s">
        <v>78</v>
      </c>
      <c r="E99" s="18" t="s">
        <v>96</v>
      </c>
      <c r="F99" s="18">
        <v>44</v>
      </c>
      <c r="G99" s="17">
        <v>1188</v>
      </c>
      <c r="H99" s="17">
        <v>638</v>
      </c>
    </row>
    <row r="100" spans="1:8" x14ac:dyDescent="0.25">
      <c r="A100" s="19">
        <v>40571</v>
      </c>
      <c r="B100" s="18" t="s">
        <v>56</v>
      </c>
      <c r="C100" s="18" t="s">
        <v>61</v>
      </c>
      <c r="D100" s="18" t="s">
        <v>62</v>
      </c>
      <c r="E100" s="18" t="s">
        <v>63</v>
      </c>
      <c r="F100" s="18">
        <v>56</v>
      </c>
      <c r="G100" s="17">
        <v>1512</v>
      </c>
      <c r="H100" s="17">
        <v>812</v>
      </c>
    </row>
    <row r="101" spans="1:8" x14ac:dyDescent="0.25">
      <c r="A101" s="19">
        <v>40571</v>
      </c>
      <c r="B101" s="18" t="s">
        <v>60</v>
      </c>
      <c r="C101" s="18" t="s">
        <v>61</v>
      </c>
      <c r="D101" s="18" t="s">
        <v>58</v>
      </c>
      <c r="E101" s="18" t="s">
        <v>83</v>
      </c>
      <c r="F101" s="18">
        <v>25</v>
      </c>
      <c r="G101" s="17">
        <v>550</v>
      </c>
      <c r="H101" s="17">
        <v>250</v>
      </c>
    </row>
    <row r="102" spans="1:8" x14ac:dyDescent="0.25">
      <c r="A102" s="19">
        <v>40571</v>
      </c>
      <c r="B102" s="18" t="s">
        <v>68</v>
      </c>
      <c r="C102" s="18" t="s">
        <v>61</v>
      </c>
      <c r="D102" s="18" t="s">
        <v>82</v>
      </c>
      <c r="E102" s="18" t="s">
        <v>99</v>
      </c>
      <c r="F102" s="18">
        <v>51</v>
      </c>
      <c r="G102" s="17">
        <v>969</v>
      </c>
      <c r="H102" s="17">
        <v>408</v>
      </c>
    </row>
    <row r="103" spans="1:8" x14ac:dyDescent="0.25">
      <c r="A103" s="19">
        <v>40571</v>
      </c>
      <c r="B103" s="18" t="s">
        <v>73</v>
      </c>
      <c r="C103" s="18" t="s">
        <v>64</v>
      </c>
      <c r="D103" s="18" t="s">
        <v>72</v>
      </c>
      <c r="E103" s="18" t="s">
        <v>69</v>
      </c>
      <c r="F103" s="18">
        <v>62</v>
      </c>
      <c r="G103" s="17">
        <v>1302</v>
      </c>
      <c r="H103" s="17">
        <v>573.5</v>
      </c>
    </row>
    <row r="104" spans="1:8" x14ac:dyDescent="0.25">
      <c r="A104" s="19">
        <v>40571</v>
      </c>
      <c r="B104" s="18" t="s">
        <v>70</v>
      </c>
      <c r="C104" s="18" t="s">
        <v>64</v>
      </c>
      <c r="D104" s="18" t="s">
        <v>82</v>
      </c>
      <c r="E104" s="18" t="s">
        <v>101</v>
      </c>
      <c r="F104" s="18">
        <v>15</v>
      </c>
      <c r="G104" s="17">
        <v>345</v>
      </c>
      <c r="H104" s="17">
        <v>165</v>
      </c>
    </row>
    <row r="105" spans="1:8" x14ac:dyDescent="0.25">
      <c r="A105" s="19">
        <v>40572</v>
      </c>
      <c r="B105" s="18" t="s">
        <v>60</v>
      </c>
      <c r="C105" s="18" t="s">
        <v>57</v>
      </c>
      <c r="D105" s="18" t="s">
        <v>72</v>
      </c>
      <c r="E105" s="18" t="s">
        <v>66</v>
      </c>
      <c r="F105" s="18">
        <v>50</v>
      </c>
      <c r="G105" s="17">
        <v>1100</v>
      </c>
      <c r="H105" s="17">
        <v>500</v>
      </c>
    </row>
    <row r="106" spans="1:8" x14ac:dyDescent="0.25">
      <c r="A106" s="19">
        <v>40572</v>
      </c>
      <c r="B106" s="18" t="s">
        <v>56</v>
      </c>
      <c r="C106" s="18" t="s">
        <v>71</v>
      </c>
      <c r="D106" s="18" t="s">
        <v>62</v>
      </c>
      <c r="E106" s="18" t="s">
        <v>94</v>
      </c>
      <c r="F106" s="18">
        <v>10</v>
      </c>
      <c r="G106" s="17">
        <v>270</v>
      </c>
      <c r="H106" s="17">
        <v>145</v>
      </c>
    </row>
    <row r="107" spans="1:8" x14ac:dyDescent="0.25">
      <c r="A107" s="19">
        <v>40573</v>
      </c>
      <c r="B107" s="18" t="s">
        <v>68</v>
      </c>
      <c r="C107" s="18" t="s">
        <v>61</v>
      </c>
      <c r="D107" s="18" t="s">
        <v>58</v>
      </c>
      <c r="E107" s="18" t="s">
        <v>77</v>
      </c>
      <c r="F107" s="18">
        <v>23</v>
      </c>
      <c r="G107" s="17">
        <v>437</v>
      </c>
      <c r="H107" s="17">
        <v>184</v>
      </c>
    </row>
    <row r="108" spans="1:8" x14ac:dyDescent="0.25">
      <c r="A108" s="19">
        <v>40573</v>
      </c>
      <c r="B108" s="18" t="s">
        <v>56</v>
      </c>
      <c r="C108" s="18" t="s">
        <v>61</v>
      </c>
      <c r="D108" s="18" t="s">
        <v>58</v>
      </c>
      <c r="E108" s="18" t="s">
        <v>77</v>
      </c>
      <c r="F108" s="18">
        <v>25</v>
      </c>
      <c r="G108" s="17">
        <v>675</v>
      </c>
      <c r="H108" s="17">
        <v>362.5</v>
      </c>
    </row>
    <row r="109" spans="1:8" x14ac:dyDescent="0.25">
      <c r="A109" s="19">
        <v>40573</v>
      </c>
      <c r="B109" s="18" t="s">
        <v>68</v>
      </c>
      <c r="C109" s="18" t="s">
        <v>64</v>
      </c>
      <c r="D109" s="18" t="s">
        <v>62</v>
      </c>
      <c r="E109" s="18" t="s">
        <v>91</v>
      </c>
      <c r="F109" s="18">
        <v>49</v>
      </c>
      <c r="G109" s="17">
        <v>931</v>
      </c>
      <c r="H109" s="17">
        <v>392</v>
      </c>
    </row>
  </sheetData>
  <autoFilter ref="A4:H109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-0.249977111117893"/>
  </sheetPr>
  <dimension ref="A2:G10"/>
  <sheetViews>
    <sheetView workbookViewId="0">
      <selection activeCell="C6" sqref="C6"/>
    </sheetView>
  </sheetViews>
  <sheetFormatPr defaultRowHeight="15" x14ac:dyDescent="0.25"/>
  <cols>
    <col min="1" max="1" width="15.5703125" bestFit="1" customWidth="1"/>
    <col min="2" max="2" width="18.7109375" customWidth="1"/>
    <col min="3" max="3" width="22.42578125" customWidth="1"/>
    <col min="4" max="4" width="16.28515625" bestFit="1" customWidth="1"/>
    <col min="5" max="5" width="11.7109375" bestFit="1" customWidth="1"/>
  </cols>
  <sheetData>
    <row r="2" spans="1:7" ht="28.5" x14ac:dyDescent="0.45">
      <c r="A2" s="225" t="s">
        <v>102</v>
      </c>
      <c r="B2" s="225"/>
      <c r="C2" s="225"/>
      <c r="D2" s="225"/>
      <c r="E2" s="225"/>
      <c r="F2" s="225"/>
      <c r="G2" s="225"/>
    </row>
    <row r="4" spans="1:7" ht="15.75" x14ac:dyDescent="0.25">
      <c r="A4" s="35" t="s">
        <v>103</v>
      </c>
      <c r="B4" s="34"/>
      <c r="C4" s="34"/>
      <c r="D4" s="34"/>
      <c r="E4" s="34"/>
      <c r="F4" s="33"/>
    </row>
    <row r="5" spans="1:7" ht="15.75" x14ac:dyDescent="0.25">
      <c r="A5" s="32"/>
      <c r="B5" s="31" t="s">
        <v>104</v>
      </c>
      <c r="C5" s="31" t="s">
        <v>105</v>
      </c>
      <c r="D5" s="31" t="s">
        <v>106</v>
      </c>
      <c r="E5" s="31" t="s">
        <v>107</v>
      </c>
      <c r="F5" s="26"/>
    </row>
    <row r="6" spans="1:7" ht="15.75" x14ac:dyDescent="0.25">
      <c r="A6" s="28" t="s">
        <v>108</v>
      </c>
      <c r="B6" s="30">
        <v>22150</v>
      </c>
      <c r="C6" s="30">
        <v>43690</v>
      </c>
      <c r="D6" s="30">
        <v>57890</v>
      </c>
      <c r="E6" s="30"/>
      <c r="F6" s="26"/>
    </row>
    <row r="7" spans="1:7" ht="15.75" x14ac:dyDescent="0.25">
      <c r="A7" s="28" t="s">
        <v>109</v>
      </c>
      <c r="B7" s="30">
        <v>37522</v>
      </c>
      <c r="C7" s="30">
        <v>51200</v>
      </c>
      <c r="D7" s="30">
        <v>43500</v>
      </c>
      <c r="E7" s="30"/>
      <c r="F7" s="26"/>
    </row>
    <row r="8" spans="1:7" ht="16.5" thickBot="1" x14ac:dyDescent="0.3">
      <c r="A8" s="28" t="s">
        <v>110</v>
      </c>
      <c r="B8" s="29">
        <v>17540</v>
      </c>
      <c r="C8" s="29">
        <v>14550</v>
      </c>
      <c r="D8" s="29">
        <v>27890</v>
      </c>
      <c r="E8" s="29"/>
      <c r="F8" s="26"/>
    </row>
    <row r="9" spans="1:7" ht="16.5" thickBot="1" x14ac:dyDescent="0.3">
      <c r="A9" s="28" t="s">
        <v>107</v>
      </c>
      <c r="B9" s="27"/>
      <c r="C9" s="27"/>
      <c r="D9" s="27"/>
      <c r="E9" s="27"/>
      <c r="F9" s="26"/>
    </row>
    <row r="10" spans="1:7" ht="16.5" thickTop="1" x14ac:dyDescent="0.25">
      <c r="A10" s="25"/>
      <c r="B10" s="24"/>
      <c r="C10" s="24"/>
      <c r="D10" s="24"/>
      <c r="E10" s="24"/>
      <c r="F10" s="23"/>
    </row>
  </sheetData>
  <mergeCells count="1">
    <mergeCell ref="A2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-0.249977111117893"/>
  </sheetPr>
  <dimension ref="A2:F38"/>
  <sheetViews>
    <sheetView workbookViewId="0">
      <selection activeCell="C6" sqref="C6"/>
    </sheetView>
  </sheetViews>
  <sheetFormatPr defaultRowHeight="15" x14ac:dyDescent="0.25"/>
  <cols>
    <col min="1" max="1" width="9.42578125" bestFit="1" customWidth="1"/>
    <col min="2" max="2" width="11.5703125" bestFit="1" customWidth="1"/>
    <col min="5" max="6" width="14.85546875" bestFit="1" customWidth="1"/>
  </cols>
  <sheetData>
    <row r="2" spans="1:6" ht="15" customHeight="1" x14ac:dyDescent="0.3">
      <c r="A2" s="226" t="s">
        <v>111</v>
      </c>
      <c r="B2" s="226"/>
      <c r="C2" s="226"/>
      <c r="D2" s="226"/>
      <c r="E2" s="226"/>
      <c r="F2" s="226"/>
    </row>
    <row r="5" spans="1:6" ht="15.75" x14ac:dyDescent="0.25">
      <c r="A5" s="41" t="s">
        <v>112</v>
      </c>
      <c r="B5" s="41" t="s">
        <v>53</v>
      </c>
      <c r="C5" s="37"/>
      <c r="D5" s="41" t="s">
        <v>112</v>
      </c>
      <c r="E5" s="41" t="s">
        <v>53</v>
      </c>
      <c r="F5" s="37"/>
    </row>
    <row r="6" spans="1:6" ht="15.75" x14ac:dyDescent="0.25">
      <c r="A6" s="39">
        <v>2000</v>
      </c>
      <c r="B6" s="38">
        <v>91163</v>
      </c>
      <c r="C6" s="37"/>
      <c r="D6" s="39" t="s">
        <v>113</v>
      </c>
      <c r="E6" s="40">
        <v>591163</v>
      </c>
      <c r="F6" s="37"/>
    </row>
    <row r="7" spans="1:6" ht="15.75" x14ac:dyDescent="0.25">
      <c r="A7" s="39">
        <v>2001</v>
      </c>
      <c r="B7" s="38">
        <v>134599</v>
      </c>
      <c r="C7" s="37"/>
      <c r="D7" s="39" t="s">
        <v>114</v>
      </c>
      <c r="E7" s="40">
        <v>734599</v>
      </c>
      <c r="F7" s="37"/>
    </row>
    <row r="8" spans="1:6" ht="15.75" x14ac:dyDescent="0.25">
      <c r="A8" s="39">
        <v>2002</v>
      </c>
      <c r="B8" s="38">
        <v>148414</v>
      </c>
      <c r="C8" s="37"/>
      <c r="D8" s="39" t="s">
        <v>115</v>
      </c>
      <c r="E8" s="40">
        <v>648414</v>
      </c>
      <c r="F8" s="37"/>
    </row>
    <row r="9" spans="1:6" ht="15.75" x14ac:dyDescent="0.25">
      <c r="A9" s="39">
        <v>2003</v>
      </c>
      <c r="B9" s="38">
        <v>138115</v>
      </c>
      <c r="C9" s="37"/>
      <c r="D9" s="39" t="s">
        <v>116</v>
      </c>
      <c r="E9" s="40">
        <v>638115</v>
      </c>
      <c r="F9" s="37"/>
    </row>
    <row r="10" spans="1:6" ht="15.75" x14ac:dyDescent="0.25">
      <c r="A10" s="39">
        <v>2004</v>
      </c>
      <c r="B10" s="38">
        <v>199845</v>
      </c>
      <c r="C10" s="37"/>
      <c r="D10" s="37"/>
      <c r="E10" s="37"/>
      <c r="F10" s="37"/>
    </row>
    <row r="11" spans="1:6" ht="15.75" x14ac:dyDescent="0.25">
      <c r="A11" s="39">
        <v>2005</v>
      </c>
      <c r="B11" s="38">
        <v>199185</v>
      </c>
      <c r="C11" s="37"/>
      <c r="D11" s="37"/>
      <c r="E11" s="37"/>
      <c r="F11" s="37"/>
    </row>
    <row r="12" spans="1:6" ht="15.75" x14ac:dyDescent="0.25">
      <c r="A12" s="39">
        <v>2006</v>
      </c>
      <c r="B12" s="38">
        <v>122919</v>
      </c>
      <c r="C12" s="37"/>
      <c r="D12" s="41" t="s">
        <v>117</v>
      </c>
      <c r="E12" s="41" t="s">
        <v>118</v>
      </c>
      <c r="F12" s="41" t="s">
        <v>119</v>
      </c>
    </row>
    <row r="13" spans="1:6" ht="15.75" x14ac:dyDescent="0.25">
      <c r="A13" s="39">
        <v>2007</v>
      </c>
      <c r="B13" s="38">
        <v>180820</v>
      </c>
      <c r="C13" s="37"/>
      <c r="D13" s="39" t="s">
        <v>113</v>
      </c>
      <c r="E13" s="40">
        <v>591163</v>
      </c>
      <c r="F13" s="40">
        <v>295581.5</v>
      </c>
    </row>
    <row r="14" spans="1:6" ht="15.75" x14ac:dyDescent="0.25">
      <c r="A14" s="39">
        <v>2008</v>
      </c>
      <c r="B14" s="38">
        <v>162194</v>
      </c>
      <c r="C14" s="37"/>
      <c r="D14" s="39" t="s">
        <v>114</v>
      </c>
      <c r="E14" s="40">
        <v>734599</v>
      </c>
      <c r="F14" s="40">
        <v>337915.54000000004</v>
      </c>
    </row>
    <row r="15" spans="1:6" ht="15.75" x14ac:dyDescent="0.25">
      <c r="A15" s="39">
        <v>2009</v>
      </c>
      <c r="B15" s="38">
        <v>249388</v>
      </c>
      <c r="C15" s="37"/>
      <c r="D15" s="39" t="s">
        <v>115</v>
      </c>
      <c r="E15" s="40">
        <v>648414</v>
      </c>
      <c r="F15" s="40">
        <v>330691.14</v>
      </c>
    </row>
    <row r="16" spans="1:6" ht="15.75" x14ac:dyDescent="0.25">
      <c r="A16" s="39">
        <v>2010</v>
      </c>
      <c r="B16" s="38">
        <v>196892</v>
      </c>
      <c r="C16" s="37"/>
      <c r="D16" s="39" t="s">
        <v>116</v>
      </c>
      <c r="E16" s="40">
        <v>638115</v>
      </c>
      <c r="F16" s="40">
        <v>299914.05</v>
      </c>
    </row>
    <row r="17" spans="1:6" ht="15.75" x14ac:dyDescent="0.25">
      <c r="A17" s="39">
        <v>2011</v>
      </c>
      <c r="B17" s="38">
        <v>209926</v>
      </c>
      <c r="C17" s="37"/>
      <c r="D17" s="37"/>
      <c r="E17" s="37"/>
      <c r="F17" s="37"/>
    </row>
    <row r="18" spans="1:6" ht="15.75" x14ac:dyDescent="0.25">
      <c r="A18" s="39">
        <v>2012</v>
      </c>
      <c r="B18" s="38">
        <v>355488</v>
      </c>
      <c r="C18" s="37"/>
      <c r="D18" s="37"/>
      <c r="E18" s="37"/>
      <c r="F18" s="37"/>
    </row>
    <row r="25" spans="1:6" x14ac:dyDescent="0.25">
      <c r="A25" s="36" t="s">
        <v>120</v>
      </c>
      <c r="B25" s="36" t="s">
        <v>121</v>
      </c>
      <c r="C25" s="36" t="s">
        <v>122</v>
      </c>
    </row>
    <row r="26" spans="1:6" x14ac:dyDescent="0.25">
      <c r="A26" s="18">
        <v>55</v>
      </c>
      <c r="B26" s="18">
        <v>61</v>
      </c>
      <c r="C26" s="18">
        <v>94</v>
      </c>
    </row>
    <row r="27" spans="1:6" x14ac:dyDescent="0.25">
      <c r="A27" s="18">
        <v>98</v>
      </c>
      <c r="B27" s="18">
        <v>78</v>
      </c>
      <c r="C27" s="18">
        <v>99</v>
      </c>
    </row>
    <row r="28" spans="1:6" x14ac:dyDescent="0.25">
      <c r="A28" s="18">
        <v>64</v>
      </c>
      <c r="B28" s="18">
        <v>68</v>
      </c>
      <c r="C28" s="18">
        <v>90</v>
      </c>
    </row>
    <row r="29" spans="1:6" x14ac:dyDescent="0.25">
      <c r="A29" s="18">
        <v>74</v>
      </c>
      <c r="B29" s="18">
        <v>90</v>
      </c>
      <c r="C29" s="18">
        <v>94</v>
      </c>
    </row>
    <row r="30" spans="1:6" x14ac:dyDescent="0.25">
      <c r="A30" s="18">
        <v>64</v>
      </c>
      <c r="B30" s="18">
        <v>90</v>
      </c>
      <c r="C30" s="18">
        <v>72</v>
      </c>
    </row>
    <row r="31" spans="1:6" x14ac:dyDescent="0.25">
      <c r="A31" s="18">
        <v>78</v>
      </c>
      <c r="B31" s="18">
        <v>72</v>
      </c>
      <c r="C31" s="18">
        <v>96</v>
      </c>
    </row>
    <row r="32" spans="1:6" x14ac:dyDescent="0.25">
      <c r="A32" s="18">
        <v>59</v>
      </c>
      <c r="B32" s="18">
        <v>69</v>
      </c>
      <c r="C32" s="18">
        <v>75</v>
      </c>
    </row>
    <row r="33" spans="1:3" x14ac:dyDescent="0.25">
      <c r="A33" s="18">
        <v>97</v>
      </c>
      <c r="B33" s="18">
        <v>94</v>
      </c>
      <c r="C33" s="18">
        <v>80</v>
      </c>
    </row>
    <row r="34" spans="1:3" x14ac:dyDescent="0.25">
      <c r="A34" s="18">
        <v>61</v>
      </c>
      <c r="B34" s="18">
        <v>68</v>
      </c>
      <c r="C34" s="18">
        <v>88</v>
      </c>
    </row>
    <row r="35" spans="1:3" x14ac:dyDescent="0.25">
      <c r="A35" s="18">
        <v>59</v>
      </c>
      <c r="B35" s="18">
        <v>79</v>
      </c>
      <c r="C35" s="18">
        <v>97</v>
      </c>
    </row>
    <row r="36" spans="1:3" x14ac:dyDescent="0.25">
      <c r="A36" s="18">
        <v>66</v>
      </c>
      <c r="B36" s="18">
        <v>64</v>
      </c>
      <c r="C36" s="18">
        <v>96</v>
      </c>
    </row>
    <row r="37" spans="1:3" x14ac:dyDescent="0.25">
      <c r="A37" s="18">
        <v>99</v>
      </c>
      <c r="B37" s="18">
        <v>69</v>
      </c>
      <c r="C37" s="18">
        <v>98</v>
      </c>
    </row>
    <row r="38" spans="1:3" x14ac:dyDescent="0.25">
      <c r="A38" s="18">
        <v>94</v>
      </c>
      <c r="B38" s="18">
        <v>75</v>
      </c>
      <c r="C38" s="18">
        <v>73</v>
      </c>
    </row>
  </sheetData>
  <mergeCells count="1">
    <mergeCell ref="A2: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 tint="0.14999847407452621"/>
  </sheetPr>
  <dimension ref="A2:E13"/>
  <sheetViews>
    <sheetView workbookViewId="0">
      <selection activeCell="C6" sqref="C6"/>
    </sheetView>
  </sheetViews>
  <sheetFormatPr defaultRowHeight="15" x14ac:dyDescent="0.25"/>
  <cols>
    <col min="1" max="1" width="23.85546875" bestFit="1" customWidth="1"/>
    <col min="2" max="2" width="13.5703125" bestFit="1" customWidth="1"/>
    <col min="3" max="3" width="29.42578125" customWidth="1"/>
    <col min="4" max="4" width="27.5703125" customWidth="1"/>
    <col min="5" max="5" width="24.28515625" customWidth="1"/>
  </cols>
  <sheetData>
    <row r="2" spans="1:5" ht="33.75" x14ac:dyDescent="0.5">
      <c r="C2" s="51" t="s">
        <v>123</v>
      </c>
    </row>
    <row r="4" spans="1:5" ht="60.75" x14ac:dyDescent="0.3">
      <c r="A4" s="42"/>
      <c r="B4" s="42"/>
      <c r="C4" s="50" t="s">
        <v>124</v>
      </c>
      <c r="D4" s="50" t="s">
        <v>125</v>
      </c>
      <c r="E4" s="50" t="s">
        <v>126</v>
      </c>
    </row>
    <row r="5" spans="1:5" ht="42" x14ac:dyDescent="0.35">
      <c r="A5" s="44" t="s">
        <v>127</v>
      </c>
      <c r="B5" s="44" t="s">
        <v>53</v>
      </c>
      <c r="C5" s="44" t="s">
        <v>128</v>
      </c>
      <c r="D5" s="44" t="s">
        <v>129</v>
      </c>
      <c r="E5" s="44" t="s">
        <v>130</v>
      </c>
    </row>
    <row r="6" spans="1:5" ht="20.25" x14ac:dyDescent="0.3">
      <c r="A6" s="49" t="s">
        <v>131</v>
      </c>
      <c r="B6" s="43">
        <v>20382</v>
      </c>
      <c r="C6" s="48"/>
      <c r="D6" s="48"/>
      <c r="E6" s="47"/>
    </row>
    <row r="7" spans="1:5" ht="20.25" x14ac:dyDescent="0.3">
      <c r="A7" s="49" t="s">
        <v>132</v>
      </c>
      <c r="B7" s="43">
        <v>19504</v>
      </c>
      <c r="C7" s="48"/>
      <c r="D7" s="48"/>
      <c r="E7" s="47"/>
    </row>
    <row r="8" spans="1:5" ht="20.25" x14ac:dyDescent="0.3">
      <c r="A8" s="49" t="s">
        <v>133</v>
      </c>
      <c r="B8" s="43">
        <v>21579</v>
      </c>
      <c r="C8" s="48"/>
      <c r="D8" s="48"/>
      <c r="E8" s="47"/>
    </row>
    <row r="9" spans="1:5" ht="20.25" x14ac:dyDescent="0.3">
      <c r="A9" s="49" t="s">
        <v>134</v>
      </c>
      <c r="B9" s="43">
        <v>12117</v>
      </c>
      <c r="C9" s="48"/>
      <c r="D9" s="48"/>
      <c r="E9" s="47"/>
    </row>
    <row r="10" spans="1:5" ht="20.25" x14ac:dyDescent="0.3">
      <c r="A10" s="49" t="s">
        <v>135</v>
      </c>
      <c r="B10" s="43">
        <v>26081</v>
      </c>
      <c r="C10" s="48"/>
      <c r="D10" s="48"/>
      <c r="E10" s="47"/>
    </row>
    <row r="11" spans="1:5" ht="20.25" x14ac:dyDescent="0.3">
      <c r="A11" s="42"/>
      <c r="B11" s="46"/>
      <c r="C11" s="42"/>
      <c r="D11" s="42"/>
      <c r="E11" s="42"/>
    </row>
    <row r="12" spans="1:5" ht="21" x14ac:dyDescent="0.35">
      <c r="A12" s="45" t="s">
        <v>136</v>
      </c>
      <c r="B12" s="43">
        <v>20000</v>
      </c>
      <c r="C12" s="42"/>
      <c r="D12" s="42"/>
      <c r="E12" s="42"/>
    </row>
    <row r="13" spans="1:5" ht="69.75" customHeight="1" x14ac:dyDescent="0.35">
      <c r="A13" s="44" t="s">
        <v>137</v>
      </c>
      <c r="B13" s="43">
        <v>750</v>
      </c>
      <c r="C13" s="42"/>
      <c r="D13" s="42"/>
      <c r="E13" s="4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39997558519241921"/>
  </sheetPr>
  <dimension ref="B2:H26"/>
  <sheetViews>
    <sheetView workbookViewId="0">
      <selection activeCell="A28" sqref="A28"/>
    </sheetView>
  </sheetViews>
  <sheetFormatPr defaultColWidth="9.140625" defaultRowHeight="12.75" x14ac:dyDescent="0.2"/>
  <cols>
    <col min="1" max="1" width="9.140625" style="52"/>
    <col min="2" max="2" width="51.42578125" style="52" customWidth="1"/>
    <col min="3" max="3" width="15.5703125" style="52" bestFit="1" customWidth="1"/>
    <col min="4" max="4" width="72.28515625" style="52" bestFit="1" customWidth="1"/>
    <col min="5" max="5" width="18.28515625" style="52" customWidth="1"/>
    <col min="6" max="16384" width="9.140625" style="52"/>
  </cols>
  <sheetData>
    <row r="2" spans="2:4" ht="15.75" x14ac:dyDescent="0.25">
      <c r="B2" s="54" t="s">
        <v>138</v>
      </c>
      <c r="C2" s="57">
        <v>1094</v>
      </c>
    </row>
    <row r="3" spans="2:4" ht="15.75" x14ac:dyDescent="0.25">
      <c r="B3" s="54" t="s">
        <v>139</v>
      </c>
      <c r="C3" s="57">
        <v>3</v>
      </c>
    </row>
    <row r="4" spans="2:4" ht="15.75" x14ac:dyDescent="0.25">
      <c r="B4" s="54" t="s">
        <v>140</v>
      </c>
      <c r="C4" s="56">
        <f>C2/C3</f>
        <v>364.66666666666669</v>
      </c>
    </row>
    <row r="6" spans="2:4" ht="18" x14ac:dyDescent="0.25">
      <c r="B6" s="54" t="s">
        <v>141</v>
      </c>
      <c r="C6" s="55"/>
      <c r="D6" s="54" t="s">
        <v>142</v>
      </c>
    </row>
    <row r="10" spans="2:4" ht="15" x14ac:dyDescent="0.25">
      <c r="B10" s="53" t="s">
        <v>143</v>
      </c>
    </row>
    <row r="26" spans="8:8" x14ac:dyDescent="0.2">
      <c r="H26" s="52" t="s">
        <v>144</v>
      </c>
    </row>
  </sheetData>
  <hyperlinks>
    <hyperlink ref="B10" location="'Learning Outcomes'!A1" display="Go to Learning Outcomes" xr:uid="{00000000-0004-0000-0600-000000000000}"/>
  </hyperlinks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 tint="0.39997558519241921"/>
  </sheetPr>
  <dimension ref="B2:H26"/>
  <sheetViews>
    <sheetView workbookViewId="0">
      <selection activeCell="A28" sqref="A28"/>
    </sheetView>
  </sheetViews>
  <sheetFormatPr defaultColWidth="9.140625" defaultRowHeight="12.75" x14ac:dyDescent="0.2"/>
  <cols>
    <col min="1" max="1" width="9.140625" style="52"/>
    <col min="2" max="2" width="54.85546875" style="52" bestFit="1" customWidth="1"/>
    <col min="3" max="3" width="15.5703125" style="52" bestFit="1" customWidth="1"/>
    <col min="4" max="4" width="76.7109375" style="52" bestFit="1" customWidth="1"/>
    <col min="5" max="5" width="18.28515625" style="52" customWidth="1"/>
    <col min="6" max="16384" width="9.140625" style="52"/>
  </cols>
  <sheetData>
    <row r="2" spans="2:4" ht="15.75" x14ac:dyDescent="0.25">
      <c r="B2" s="54" t="s">
        <v>138</v>
      </c>
      <c r="C2" s="57">
        <v>1094</v>
      </c>
    </row>
    <row r="3" spans="2:4" ht="15.75" x14ac:dyDescent="0.25">
      <c r="B3" s="54" t="s">
        <v>139</v>
      </c>
      <c r="C3" s="57">
        <v>3</v>
      </c>
    </row>
    <row r="4" spans="2:4" ht="15.75" x14ac:dyDescent="0.25">
      <c r="B4" s="54" t="s">
        <v>140</v>
      </c>
      <c r="C4" s="56">
        <f>C2/C3</f>
        <v>364.66666666666669</v>
      </c>
    </row>
    <row r="6" spans="2:4" ht="18" x14ac:dyDescent="0.25">
      <c r="B6" s="54" t="s">
        <v>145</v>
      </c>
      <c r="C6" s="55"/>
      <c r="D6" s="58" t="s">
        <v>146</v>
      </c>
    </row>
    <row r="10" spans="2:4" ht="15" x14ac:dyDescent="0.25">
      <c r="B10" s="53" t="s">
        <v>143</v>
      </c>
    </row>
    <row r="26" spans="8:8" x14ac:dyDescent="0.2">
      <c r="H26" s="52" t="s">
        <v>144</v>
      </c>
    </row>
  </sheetData>
  <hyperlinks>
    <hyperlink ref="B10" location="'Learning Outcomes'!A1" display="Go to Learning Outcomes" xr:uid="{00000000-0004-0000-0700-000000000000}"/>
  </hyperlinks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 tint="0.39997558519241921"/>
  </sheetPr>
  <dimension ref="B2:H26"/>
  <sheetViews>
    <sheetView workbookViewId="0">
      <selection activeCell="A28" sqref="A28"/>
    </sheetView>
  </sheetViews>
  <sheetFormatPr defaultColWidth="9.140625" defaultRowHeight="12.75" x14ac:dyDescent="0.2"/>
  <cols>
    <col min="1" max="1" width="9.140625" style="52"/>
    <col min="2" max="2" width="58.140625" style="52" bestFit="1" customWidth="1"/>
    <col min="3" max="3" width="15.5703125" style="52" bestFit="1" customWidth="1"/>
    <col min="4" max="4" width="80.85546875" style="52" bestFit="1" customWidth="1"/>
    <col min="5" max="5" width="18.28515625" style="52" customWidth="1"/>
    <col min="6" max="16384" width="9.140625" style="52"/>
  </cols>
  <sheetData>
    <row r="2" spans="2:4" ht="15.75" x14ac:dyDescent="0.25">
      <c r="B2" s="54" t="s">
        <v>138</v>
      </c>
      <c r="C2" s="57">
        <v>1094</v>
      </c>
    </row>
    <row r="3" spans="2:4" ht="15.75" x14ac:dyDescent="0.25">
      <c r="B3" s="54" t="s">
        <v>139</v>
      </c>
      <c r="C3" s="57">
        <v>3</v>
      </c>
    </row>
    <row r="4" spans="2:4" ht="15.75" x14ac:dyDescent="0.25">
      <c r="B4" s="54" t="s">
        <v>140</v>
      </c>
      <c r="C4" s="56">
        <f>C2/C3</f>
        <v>364.66666666666669</v>
      </c>
    </row>
    <row r="6" spans="2:4" ht="18" x14ac:dyDescent="0.25">
      <c r="B6" s="54" t="s">
        <v>147</v>
      </c>
      <c r="C6" s="55"/>
      <c r="D6" s="58" t="s">
        <v>148</v>
      </c>
    </row>
    <row r="10" spans="2:4" ht="15" x14ac:dyDescent="0.25">
      <c r="B10" s="53" t="s">
        <v>143</v>
      </c>
    </row>
    <row r="26" spans="8:8" x14ac:dyDescent="0.2">
      <c r="H26" s="52" t="s">
        <v>144</v>
      </c>
    </row>
  </sheetData>
  <hyperlinks>
    <hyperlink ref="B10" location="'Learning Outcomes'!A1" display="Go to Learning Outcomes" xr:uid="{00000000-0004-0000-0800-000000000000}"/>
  </hyperlinks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5" tint="0.39997558519241921"/>
  </sheetPr>
  <dimension ref="A1:H26"/>
  <sheetViews>
    <sheetView zoomScale="145" zoomScaleNormal="145" workbookViewId="0">
      <selection activeCell="D12" sqref="D12"/>
    </sheetView>
  </sheetViews>
  <sheetFormatPr defaultColWidth="9.140625" defaultRowHeight="12.75" x14ac:dyDescent="0.2"/>
  <cols>
    <col min="1" max="2" width="16.5703125" style="52" customWidth="1"/>
    <col min="3" max="3" width="17.85546875" style="52" bestFit="1" customWidth="1"/>
    <col min="4" max="4" width="13.85546875" style="52" bestFit="1" customWidth="1"/>
    <col min="5" max="5" width="38.5703125" style="52" customWidth="1"/>
    <col min="6" max="6" width="12.42578125" style="52" customWidth="1"/>
    <col min="7" max="16384" width="9.140625" style="52"/>
  </cols>
  <sheetData>
    <row r="1" spans="1:5" ht="15.75" x14ac:dyDescent="0.25">
      <c r="B1" s="54" t="s">
        <v>149</v>
      </c>
    </row>
    <row r="3" spans="1:5" x14ac:dyDescent="0.2">
      <c r="A3" s="61" t="s">
        <v>150</v>
      </c>
      <c r="B3" s="61" t="s">
        <v>151</v>
      </c>
      <c r="C3" s="61" t="s">
        <v>152</v>
      </c>
      <c r="D3" s="61" t="s">
        <v>153</v>
      </c>
    </row>
    <row r="4" spans="1:5" x14ac:dyDescent="0.2">
      <c r="A4" s="60" t="s">
        <v>154</v>
      </c>
      <c r="B4" s="60">
        <v>25</v>
      </c>
      <c r="C4" s="60">
        <v>250</v>
      </c>
      <c r="D4" s="60">
        <v>5250</v>
      </c>
    </row>
    <row r="5" spans="1:5" x14ac:dyDescent="0.2">
      <c r="A5" s="60" t="s">
        <v>155</v>
      </c>
      <c r="B5" s="60">
        <v>9</v>
      </c>
      <c r="C5" s="60">
        <v>250</v>
      </c>
      <c r="D5" s="60">
        <f>B5*C5</f>
        <v>2250</v>
      </c>
    </row>
    <row r="6" spans="1:5" x14ac:dyDescent="0.2">
      <c r="A6" s="60" t="s">
        <v>156</v>
      </c>
      <c r="B6" s="60">
        <v>5</v>
      </c>
      <c r="C6" s="60">
        <v>250</v>
      </c>
      <c r="D6" s="60">
        <f>B6*C6</f>
        <v>1250</v>
      </c>
    </row>
    <row r="7" spans="1:5" x14ac:dyDescent="0.2">
      <c r="A7" s="60" t="s">
        <v>157</v>
      </c>
      <c r="B7" s="60">
        <v>2</v>
      </c>
      <c r="C7" s="60">
        <v>250</v>
      </c>
      <c r="D7" s="60">
        <f>B7*C7</f>
        <v>500</v>
      </c>
    </row>
    <row r="8" spans="1:5" x14ac:dyDescent="0.2">
      <c r="A8" s="60" t="s">
        <v>158</v>
      </c>
      <c r="B8" s="60">
        <v>27</v>
      </c>
      <c r="C8" s="60">
        <v>250</v>
      </c>
      <c r="D8" s="60">
        <v>3750</v>
      </c>
    </row>
    <row r="9" spans="1:5" x14ac:dyDescent="0.2">
      <c r="A9" s="60" t="s">
        <v>159</v>
      </c>
      <c r="B9" s="60">
        <v>9</v>
      </c>
      <c r="C9" s="60">
        <v>250</v>
      </c>
      <c r="D9" s="60">
        <f>B9*C9</f>
        <v>2250</v>
      </c>
    </row>
    <row r="10" spans="1:5" x14ac:dyDescent="0.2">
      <c r="A10" s="60" t="s">
        <v>160</v>
      </c>
      <c r="B10" s="60">
        <v>3</v>
      </c>
      <c r="C10" s="60">
        <v>250</v>
      </c>
      <c r="D10" s="60">
        <f>B10*C10</f>
        <v>750</v>
      </c>
    </row>
    <row r="12" spans="1:5" ht="39" x14ac:dyDescent="0.25">
      <c r="D12" s="55"/>
      <c r="E12" s="59" t="s">
        <v>161</v>
      </c>
    </row>
    <row r="15" spans="1:5" x14ac:dyDescent="0.2">
      <c r="B15" s="52" t="s">
        <v>162</v>
      </c>
    </row>
    <row r="17" spans="2:8" ht="15" x14ac:dyDescent="0.25">
      <c r="B17" s="53" t="s">
        <v>143</v>
      </c>
    </row>
    <row r="26" spans="2:8" x14ac:dyDescent="0.2">
      <c r="H26" s="52" t="s">
        <v>144</v>
      </c>
    </row>
  </sheetData>
  <hyperlinks>
    <hyperlink ref="B17" location="'Learning Outcomes'!A1" display="Go to Learning Outcomes" xr:uid="{00000000-0004-0000-0900-000000000000}"/>
  </hyperlinks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6" tint="-0.249977111117893"/>
  </sheetPr>
  <dimension ref="B4:H26"/>
  <sheetViews>
    <sheetView zoomScale="160" zoomScaleNormal="160" workbookViewId="0">
      <selection activeCell="A28" sqref="A28"/>
    </sheetView>
  </sheetViews>
  <sheetFormatPr defaultRowHeight="15" x14ac:dyDescent="0.25"/>
  <cols>
    <col min="2" max="2" width="12.42578125" bestFit="1" customWidth="1"/>
    <col min="6" max="6" width="50" customWidth="1"/>
  </cols>
  <sheetData>
    <row r="4" spans="2:6" x14ac:dyDescent="0.25">
      <c r="B4" s="69"/>
      <c r="C4" s="66" t="s">
        <v>163</v>
      </c>
      <c r="D4" s="66" t="s">
        <v>164</v>
      </c>
      <c r="E4" s="66" t="s">
        <v>165</v>
      </c>
      <c r="F4" s="68"/>
    </row>
    <row r="5" spans="2:6" x14ac:dyDescent="0.25">
      <c r="B5" s="66" t="s">
        <v>166</v>
      </c>
      <c r="C5" s="65">
        <v>1</v>
      </c>
      <c r="D5" s="65"/>
      <c r="E5" s="65"/>
    </row>
    <row r="6" spans="2:6" x14ac:dyDescent="0.25">
      <c r="B6" s="66" t="s">
        <v>167</v>
      </c>
      <c r="C6" s="65"/>
      <c r="D6" s="65">
        <v>2</v>
      </c>
      <c r="E6" s="65">
        <v>4</v>
      </c>
    </row>
    <row r="7" spans="2:6" x14ac:dyDescent="0.25">
      <c r="B7" s="66" t="s">
        <v>168</v>
      </c>
      <c r="C7" s="65">
        <v>2</v>
      </c>
      <c r="D7" s="65">
        <v>2</v>
      </c>
      <c r="E7" s="67" t="s">
        <v>169</v>
      </c>
    </row>
    <row r="8" spans="2:6" x14ac:dyDescent="0.25">
      <c r="B8" s="66" t="s">
        <v>170</v>
      </c>
      <c r="C8" s="65"/>
      <c r="D8" s="65">
        <v>3</v>
      </c>
      <c r="E8" s="64"/>
    </row>
    <row r="9" spans="2:6" ht="26.25" x14ac:dyDescent="0.25">
      <c r="B9" s="63" t="s">
        <v>107</v>
      </c>
      <c r="C9" s="62"/>
      <c r="D9" s="62"/>
      <c r="E9" s="62"/>
      <c r="F9" s="59" t="s">
        <v>171</v>
      </c>
    </row>
    <row r="14" spans="2:6" x14ac:dyDescent="0.25">
      <c r="B14" s="53" t="s">
        <v>143</v>
      </c>
    </row>
    <row r="26" spans="8:8" x14ac:dyDescent="0.25">
      <c r="H26" t="s">
        <v>144</v>
      </c>
    </row>
  </sheetData>
  <hyperlinks>
    <hyperlink ref="B14" location="'Learning Outcomes'!A1" display="Go to Learning Outcomes" xr:uid="{00000000-0004-0000-0A00-00000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6" tint="-0.249977111117893"/>
  </sheetPr>
  <dimension ref="B4:H26"/>
  <sheetViews>
    <sheetView workbookViewId="0">
      <selection activeCell="A28" sqref="A28"/>
    </sheetView>
  </sheetViews>
  <sheetFormatPr defaultRowHeight="15" x14ac:dyDescent="0.25"/>
  <cols>
    <col min="2" max="2" width="19.7109375" bestFit="1" customWidth="1"/>
    <col min="3" max="3" width="13" bestFit="1" customWidth="1"/>
    <col min="4" max="4" width="12.85546875" bestFit="1" customWidth="1"/>
    <col min="5" max="5" width="13" bestFit="1" customWidth="1"/>
    <col min="6" max="6" width="54.85546875" customWidth="1"/>
  </cols>
  <sheetData>
    <row r="4" spans="2:6" ht="18.75" x14ac:dyDescent="0.3">
      <c r="B4" s="73"/>
      <c r="C4" s="72" t="s">
        <v>163</v>
      </c>
      <c r="D4" s="72" t="s">
        <v>164</v>
      </c>
      <c r="E4" s="72" t="s">
        <v>165</v>
      </c>
      <c r="F4" s="68"/>
    </row>
    <row r="5" spans="2:6" ht="18.75" x14ac:dyDescent="0.3">
      <c r="B5" s="73" t="s">
        <v>166</v>
      </c>
      <c r="C5" s="72" t="s">
        <v>172</v>
      </c>
      <c r="D5" s="72"/>
      <c r="E5" s="72"/>
    </row>
    <row r="6" spans="2:6" ht="18.75" x14ac:dyDescent="0.3">
      <c r="B6" s="73" t="s">
        <v>167</v>
      </c>
      <c r="C6" s="72"/>
      <c r="D6" s="72" t="s">
        <v>172</v>
      </c>
      <c r="E6" s="72"/>
    </row>
    <row r="7" spans="2:6" ht="18.75" x14ac:dyDescent="0.3">
      <c r="B7" s="73" t="s">
        <v>168</v>
      </c>
      <c r="C7" s="72" t="s">
        <v>172</v>
      </c>
      <c r="D7" s="72"/>
      <c r="E7" s="72"/>
    </row>
    <row r="8" spans="2:6" ht="18.75" x14ac:dyDescent="0.3">
      <c r="B8" s="73" t="s">
        <v>170</v>
      </c>
      <c r="C8" s="72"/>
      <c r="D8" s="72"/>
      <c r="E8" s="72" t="s">
        <v>172</v>
      </c>
    </row>
    <row r="9" spans="2:6" ht="36" x14ac:dyDescent="0.25">
      <c r="B9" s="71" t="s">
        <v>107</v>
      </c>
      <c r="C9" s="62"/>
      <c r="D9" s="62"/>
      <c r="E9" s="62"/>
      <c r="F9" s="70" t="s">
        <v>173</v>
      </c>
    </row>
    <row r="14" spans="2:6" x14ac:dyDescent="0.25">
      <c r="B14" s="53" t="s">
        <v>143</v>
      </c>
    </row>
    <row r="26" spans="8:8" x14ac:dyDescent="0.25">
      <c r="H26" t="s">
        <v>144</v>
      </c>
    </row>
  </sheetData>
  <hyperlinks>
    <hyperlink ref="B14" location="'Learning Outcomes'!A1" display="Go to Learning Outcomes" xr:uid="{00000000-0004-0000-0B00-000000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6" tint="-0.249977111117893"/>
  </sheetPr>
  <dimension ref="B4:I26"/>
  <sheetViews>
    <sheetView workbookViewId="0">
      <selection activeCell="A28" sqref="A28"/>
    </sheetView>
  </sheetViews>
  <sheetFormatPr defaultRowHeight="15" x14ac:dyDescent="0.25"/>
  <cols>
    <col min="2" max="2" width="30.42578125" bestFit="1" customWidth="1"/>
    <col min="3" max="3" width="10.140625" customWidth="1"/>
    <col min="4" max="4" width="10.42578125" bestFit="1" customWidth="1"/>
    <col min="5" max="8" width="10.140625" bestFit="1" customWidth="1"/>
    <col min="9" max="9" width="58.28515625" customWidth="1"/>
  </cols>
  <sheetData>
    <row r="4" spans="2:9" ht="15.75" x14ac:dyDescent="0.25">
      <c r="B4" s="78"/>
      <c r="C4" s="78" t="s">
        <v>154</v>
      </c>
      <c r="D4" s="78" t="s">
        <v>156</v>
      </c>
      <c r="E4" s="78" t="s">
        <v>158</v>
      </c>
      <c r="F4" s="78" t="s">
        <v>157</v>
      </c>
      <c r="G4" s="78" t="s">
        <v>160</v>
      </c>
      <c r="H4" s="78" t="s">
        <v>155</v>
      </c>
    </row>
    <row r="5" spans="2:9" ht="15.75" x14ac:dyDescent="0.25">
      <c r="B5" s="77" t="s">
        <v>166</v>
      </c>
      <c r="C5" s="75"/>
      <c r="D5" s="75"/>
      <c r="E5" s="75" t="s">
        <v>174</v>
      </c>
      <c r="F5" s="75" t="s">
        <v>174</v>
      </c>
      <c r="G5" s="75"/>
      <c r="H5" s="75" t="s">
        <v>174</v>
      </c>
    </row>
    <row r="6" spans="2:9" ht="15.75" x14ac:dyDescent="0.25">
      <c r="B6" s="77" t="s">
        <v>167</v>
      </c>
      <c r="C6" s="75" t="s">
        <v>174</v>
      </c>
      <c r="D6" s="75" t="s">
        <v>174</v>
      </c>
      <c r="E6" s="75"/>
      <c r="F6" s="75" t="s">
        <v>174</v>
      </c>
      <c r="G6" s="75" t="s">
        <v>174</v>
      </c>
      <c r="H6" s="75"/>
    </row>
    <row r="7" spans="2:9" ht="15.75" x14ac:dyDescent="0.25">
      <c r="B7" s="77" t="s">
        <v>168</v>
      </c>
      <c r="C7" s="75"/>
      <c r="D7" s="75"/>
      <c r="E7" s="75" t="s">
        <v>174</v>
      </c>
      <c r="F7" s="75"/>
      <c r="G7" s="75" t="s">
        <v>174</v>
      </c>
      <c r="H7" s="75"/>
    </row>
    <row r="8" spans="2:9" ht="15.75" x14ac:dyDescent="0.25">
      <c r="B8" s="77" t="s">
        <v>170</v>
      </c>
      <c r="C8" s="75" t="s">
        <v>174</v>
      </c>
      <c r="D8" s="75" t="s">
        <v>174</v>
      </c>
      <c r="E8" s="75" t="s">
        <v>174</v>
      </c>
      <c r="F8" s="75"/>
      <c r="G8" s="75"/>
      <c r="H8" s="75" t="s">
        <v>174</v>
      </c>
    </row>
    <row r="9" spans="2:9" ht="15.75" x14ac:dyDescent="0.25">
      <c r="B9" s="76" t="s">
        <v>175</v>
      </c>
      <c r="C9" s="75"/>
      <c r="D9" s="75" t="s">
        <v>174</v>
      </c>
      <c r="E9" s="75" t="s">
        <v>174</v>
      </c>
      <c r="F9" s="75" t="s">
        <v>174</v>
      </c>
      <c r="G9" s="75" t="s">
        <v>174</v>
      </c>
      <c r="H9" s="75"/>
    </row>
    <row r="10" spans="2:9" ht="15.75" x14ac:dyDescent="0.25">
      <c r="B10" s="76" t="s">
        <v>176</v>
      </c>
      <c r="C10" s="75"/>
      <c r="D10" s="75" t="s">
        <v>174</v>
      </c>
      <c r="E10" s="75"/>
      <c r="F10" s="75" t="s">
        <v>174</v>
      </c>
      <c r="G10" s="75"/>
      <c r="H10" s="75" t="s">
        <v>174</v>
      </c>
    </row>
    <row r="11" spans="2:9" ht="36" x14ac:dyDescent="0.25">
      <c r="B11" s="74" t="s">
        <v>177</v>
      </c>
      <c r="C11" s="62"/>
      <c r="D11" s="62"/>
      <c r="E11" s="62"/>
      <c r="F11" s="62"/>
      <c r="G11" s="62"/>
      <c r="H11" s="62"/>
      <c r="I11" s="70" t="s">
        <v>178</v>
      </c>
    </row>
    <row r="16" spans="2:9" x14ac:dyDescent="0.25">
      <c r="B16" s="53" t="s">
        <v>143</v>
      </c>
    </row>
    <row r="26" spans="8:8" x14ac:dyDescent="0.25">
      <c r="H26" t="s">
        <v>144</v>
      </c>
    </row>
  </sheetData>
  <hyperlinks>
    <hyperlink ref="B16" location="'Learning Outcomes'!A1" display="Go to Learning Outcomes" xr:uid="{00000000-0004-0000-0C00-000000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6" tint="-0.249977111117893"/>
  </sheetPr>
  <dimension ref="B4:H26"/>
  <sheetViews>
    <sheetView topLeftCell="A3" zoomScale="160" zoomScaleNormal="160" workbookViewId="0">
      <selection activeCell="A28" sqref="A28"/>
    </sheetView>
  </sheetViews>
  <sheetFormatPr defaultRowHeight="15" x14ac:dyDescent="0.25"/>
  <cols>
    <col min="2" max="2" width="23.140625" customWidth="1"/>
    <col min="3" max="3" width="12" customWidth="1"/>
    <col min="4" max="5" width="11.140625" customWidth="1"/>
    <col min="6" max="6" width="58.42578125" customWidth="1"/>
  </cols>
  <sheetData>
    <row r="4" spans="2:6" x14ac:dyDescent="0.25">
      <c r="B4" s="83"/>
      <c r="C4" s="83" t="s">
        <v>179</v>
      </c>
      <c r="D4" s="83" t="s">
        <v>180</v>
      </c>
      <c r="E4" s="83" t="s">
        <v>181</v>
      </c>
      <c r="F4" s="68"/>
    </row>
    <row r="5" spans="2:6" x14ac:dyDescent="0.25">
      <c r="B5" s="82" t="s">
        <v>166</v>
      </c>
      <c r="C5" s="81" t="s">
        <v>182</v>
      </c>
      <c r="D5" s="81" t="s">
        <v>183</v>
      </c>
      <c r="E5" s="81" t="s">
        <v>183</v>
      </c>
    </row>
    <row r="6" spans="2:6" x14ac:dyDescent="0.25">
      <c r="B6" s="82" t="s">
        <v>167</v>
      </c>
      <c r="C6" s="81" t="s">
        <v>183</v>
      </c>
      <c r="D6" s="81" t="s">
        <v>183</v>
      </c>
      <c r="E6" s="81" t="s">
        <v>184</v>
      </c>
    </row>
    <row r="7" spans="2:6" x14ac:dyDescent="0.25">
      <c r="B7" s="82" t="s">
        <v>168</v>
      </c>
      <c r="C7" s="81" t="s">
        <v>183</v>
      </c>
      <c r="D7" s="81" t="s">
        <v>184</v>
      </c>
      <c r="E7" s="81" t="s">
        <v>183</v>
      </c>
    </row>
    <row r="8" spans="2:6" x14ac:dyDescent="0.25">
      <c r="B8" s="82" t="s">
        <v>170</v>
      </c>
      <c r="C8" s="81" t="s">
        <v>182</v>
      </c>
      <c r="D8" s="81" t="s">
        <v>183</v>
      </c>
      <c r="E8" s="81" t="s">
        <v>182</v>
      </c>
    </row>
    <row r="9" spans="2:6" ht="31.5" x14ac:dyDescent="0.25">
      <c r="B9" s="80" t="s">
        <v>185</v>
      </c>
      <c r="C9" s="62"/>
      <c r="D9" s="62"/>
      <c r="E9" s="62"/>
      <c r="F9" s="79" t="s">
        <v>186</v>
      </c>
    </row>
    <row r="17" spans="2:8" x14ac:dyDescent="0.25">
      <c r="B17" s="53" t="s">
        <v>143</v>
      </c>
    </row>
    <row r="26" spans="2:8" x14ac:dyDescent="0.25">
      <c r="H26" t="s">
        <v>144</v>
      </c>
    </row>
  </sheetData>
  <hyperlinks>
    <hyperlink ref="B17" location="'Learning Outcomes'!A1" display="Go to Learning Outcomes" xr:uid="{00000000-0004-0000-0D00-000000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0.39997558519241921"/>
  </sheetPr>
  <dimension ref="B2:H26"/>
  <sheetViews>
    <sheetView workbookViewId="0">
      <selection activeCell="A28" sqref="A28"/>
    </sheetView>
  </sheetViews>
  <sheetFormatPr defaultRowHeight="15" x14ac:dyDescent="0.25"/>
  <cols>
    <col min="2" max="2" width="15.28515625" bestFit="1" customWidth="1"/>
    <col min="3" max="4" width="14.28515625" customWidth="1"/>
    <col min="5" max="5" width="16" customWidth="1"/>
    <col min="6" max="6" width="106.28515625" customWidth="1"/>
  </cols>
  <sheetData>
    <row r="2" spans="2:6" ht="15.75" thickBot="1" x14ac:dyDescent="0.3"/>
    <row r="3" spans="2:6" x14ac:dyDescent="0.25">
      <c r="B3" s="91" t="s">
        <v>187</v>
      </c>
      <c r="C3" s="90" t="s">
        <v>188</v>
      </c>
      <c r="D3" s="90" t="s">
        <v>189</v>
      </c>
    </row>
    <row r="4" spans="2:6" ht="18" x14ac:dyDescent="0.25">
      <c r="B4" s="89" t="s">
        <v>190</v>
      </c>
      <c r="C4" s="88"/>
      <c r="D4" s="88"/>
      <c r="F4" s="70" t="s">
        <v>191</v>
      </c>
    </row>
    <row r="5" spans="2:6" x14ac:dyDescent="0.25">
      <c r="B5" s="89" t="s">
        <v>192</v>
      </c>
      <c r="C5" s="88"/>
      <c r="D5" s="88"/>
    </row>
    <row r="6" spans="2:6" ht="18" x14ac:dyDescent="0.25">
      <c r="B6" s="89" t="s">
        <v>193</v>
      </c>
      <c r="C6" s="88"/>
      <c r="D6" s="88"/>
      <c r="F6" s="70" t="s">
        <v>194</v>
      </c>
    </row>
    <row r="7" spans="2:6" x14ac:dyDescent="0.25">
      <c r="B7" s="89" t="s">
        <v>195</v>
      </c>
      <c r="C7" s="88"/>
      <c r="D7" s="88"/>
    </row>
    <row r="8" spans="2:6" x14ac:dyDescent="0.25">
      <c r="B8" s="89" t="s">
        <v>196</v>
      </c>
      <c r="C8" s="88"/>
      <c r="D8" s="88"/>
    </row>
    <row r="9" spans="2:6" x14ac:dyDescent="0.25">
      <c r="B9" s="89" t="s">
        <v>197</v>
      </c>
      <c r="C9" s="88"/>
      <c r="D9" s="88"/>
    </row>
    <row r="10" spans="2:6" x14ac:dyDescent="0.25">
      <c r="B10" s="89" t="s">
        <v>198</v>
      </c>
      <c r="C10" s="88"/>
      <c r="D10" s="88"/>
    </row>
    <row r="11" spans="2:6" x14ac:dyDescent="0.25">
      <c r="B11" s="89" t="s">
        <v>199</v>
      </c>
      <c r="C11" s="88"/>
      <c r="D11" s="88"/>
    </row>
    <row r="12" spans="2:6" x14ac:dyDescent="0.25">
      <c r="B12" s="89" t="s">
        <v>200</v>
      </c>
      <c r="C12" s="88"/>
      <c r="D12" s="88"/>
    </row>
    <row r="13" spans="2:6" x14ac:dyDescent="0.25">
      <c r="B13" s="89" t="s">
        <v>201</v>
      </c>
      <c r="C13" s="88"/>
      <c r="D13" s="88"/>
    </row>
    <row r="14" spans="2:6" x14ac:dyDescent="0.25">
      <c r="B14" s="89" t="s">
        <v>202</v>
      </c>
      <c r="C14" s="88"/>
      <c r="D14" s="88"/>
    </row>
    <row r="15" spans="2:6" x14ac:dyDescent="0.25">
      <c r="B15" s="89" t="s">
        <v>203</v>
      </c>
      <c r="C15" s="88"/>
      <c r="D15" s="88"/>
    </row>
    <row r="16" spans="2:6" x14ac:dyDescent="0.25">
      <c r="B16" s="89" t="s">
        <v>204</v>
      </c>
      <c r="C16" s="88"/>
      <c r="D16" s="88"/>
    </row>
    <row r="17" spans="2:8" x14ac:dyDescent="0.25">
      <c r="B17" s="89" t="s">
        <v>205</v>
      </c>
      <c r="C17" s="88"/>
      <c r="D17" s="88"/>
    </row>
    <row r="18" spans="2:8" x14ac:dyDescent="0.25">
      <c r="B18" s="89" t="s">
        <v>206</v>
      </c>
      <c r="C18" s="88"/>
      <c r="D18" s="88"/>
    </row>
    <row r="19" spans="2:8" ht="15.75" thickBot="1" x14ac:dyDescent="0.3">
      <c r="B19" s="87" t="s">
        <v>207</v>
      </c>
      <c r="C19" s="86"/>
      <c r="D19" s="86"/>
    </row>
    <row r="20" spans="2:8" ht="18" x14ac:dyDescent="0.25">
      <c r="C20" s="85"/>
      <c r="D20" s="85"/>
    </row>
    <row r="23" spans="2:8" x14ac:dyDescent="0.25">
      <c r="B23" s="53" t="s">
        <v>143</v>
      </c>
    </row>
    <row r="24" spans="2:8" x14ac:dyDescent="0.25">
      <c r="D24" s="84"/>
    </row>
    <row r="25" spans="2:8" x14ac:dyDescent="0.25">
      <c r="D25" s="84"/>
    </row>
    <row r="26" spans="2:8" x14ac:dyDescent="0.25">
      <c r="H26" t="s">
        <v>144</v>
      </c>
    </row>
  </sheetData>
  <hyperlinks>
    <hyperlink ref="B23" location="'Learning Outcomes'!A1" display="Go to Learning Outcomes" xr:uid="{00000000-0004-0000-0E00-000000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 tint="0.39997558519241921"/>
  </sheetPr>
  <dimension ref="C2:F25"/>
  <sheetViews>
    <sheetView workbookViewId="0">
      <selection activeCell="A28" sqref="A28"/>
    </sheetView>
  </sheetViews>
  <sheetFormatPr defaultColWidth="9.140625" defaultRowHeight="12.75" x14ac:dyDescent="0.2"/>
  <cols>
    <col min="1" max="2" width="9.140625" style="52"/>
    <col min="3" max="3" width="17.5703125" style="52" customWidth="1"/>
    <col min="4" max="4" width="15" style="52" customWidth="1"/>
    <col min="5" max="5" width="11.7109375" style="52" customWidth="1"/>
    <col min="6" max="6" width="98.28515625" style="52" customWidth="1"/>
    <col min="7" max="16384" width="9.140625" style="52"/>
  </cols>
  <sheetData>
    <row r="2" spans="3:6" ht="15" x14ac:dyDescent="0.25">
      <c r="C2" s="95" t="s">
        <v>208</v>
      </c>
      <c r="D2" s="94" t="s">
        <v>209</v>
      </c>
    </row>
    <row r="3" spans="3:6" ht="36" x14ac:dyDescent="0.25">
      <c r="C3" s="93" t="s">
        <v>210</v>
      </c>
      <c r="D3" s="92"/>
      <c r="F3" s="70" t="s">
        <v>211</v>
      </c>
    </row>
    <row r="4" spans="3:6" ht="15" x14ac:dyDescent="0.25">
      <c r="C4" s="93" t="s">
        <v>212</v>
      </c>
      <c r="D4" s="92"/>
    </row>
    <row r="5" spans="3:6" ht="15" x14ac:dyDescent="0.25">
      <c r="C5" s="93" t="s">
        <v>213</v>
      </c>
      <c r="D5" s="92"/>
    </row>
    <row r="6" spans="3:6" ht="15" x14ac:dyDescent="0.25">
      <c r="C6" s="93" t="s">
        <v>214</v>
      </c>
      <c r="D6" s="92"/>
    </row>
    <row r="7" spans="3:6" ht="15" x14ac:dyDescent="0.25">
      <c r="C7" s="93" t="s">
        <v>215</v>
      </c>
      <c r="D7" s="92"/>
    </row>
    <row r="8" spans="3:6" ht="15" x14ac:dyDescent="0.25">
      <c r="C8" s="93" t="s">
        <v>216</v>
      </c>
      <c r="D8" s="92"/>
    </row>
    <row r="9" spans="3:6" ht="15" x14ac:dyDescent="0.25">
      <c r="C9" s="93" t="s">
        <v>217</v>
      </c>
      <c r="D9" s="92"/>
    </row>
    <row r="10" spans="3:6" ht="15" x14ac:dyDescent="0.25">
      <c r="C10" s="93" t="s">
        <v>218</v>
      </c>
      <c r="D10" s="92"/>
    </row>
    <row r="11" spans="3:6" ht="15" x14ac:dyDescent="0.25">
      <c r="C11" s="93" t="s">
        <v>219</v>
      </c>
      <c r="D11" s="92"/>
    </row>
    <row r="12" spans="3:6" ht="15" x14ac:dyDescent="0.25">
      <c r="C12" s="93" t="s">
        <v>220</v>
      </c>
      <c r="D12" s="92"/>
    </row>
    <row r="13" spans="3:6" ht="15" x14ac:dyDescent="0.25">
      <c r="C13" s="93" t="s">
        <v>221</v>
      </c>
      <c r="D13" s="92"/>
    </row>
    <row r="14" spans="3:6" ht="15" x14ac:dyDescent="0.25">
      <c r="C14" s="93" t="s">
        <v>222</v>
      </c>
      <c r="D14" s="92"/>
    </row>
    <row r="15" spans="3:6" ht="15" x14ac:dyDescent="0.25">
      <c r="C15" s="93" t="s">
        <v>223</v>
      </c>
      <c r="D15" s="92"/>
    </row>
    <row r="16" spans="3:6" ht="15" x14ac:dyDescent="0.25">
      <c r="C16" s="93" t="s">
        <v>224</v>
      </c>
      <c r="D16" s="92"/>
    </row>
    <row r="17" spans="3:4" ht="15" x14ac:dyDescent="0.25">
      <c r="C17" s="93" t="s">
        <v>225</v>
      </c>
      <c r="D17" s="92"/>
    </row>
    <row r="18" spans="3:4" ht="15" x14ac:dyDescent="0.25">
      <c r="C18" s="93" t="s">
        <v>226</v>
      </c>
      <c r="D18" s="92"/>
    </row>
    <row r="19" spans="3:4" ht="15" x14ac:dyDescent="0.25">
      <c r="C19" s="93" t="s">
        <v>227</v>
      </c>
      <c r="D19" s="92"/>
    </row>
    <row r="20" spans="3:4" ht="15" x14ac:dyDescent="0.25">
      <c r="C20" s="93" t="s">
        <v>228</v>
      </c>
      <c r="D20" s="92"/>
    </row>
    <row r="21" spans="3:4" ht="15" x14ac:dyDescent="0.25">
      <c r="C21" s="93" t="s">
        <v>229</v>
      </c>
      <c r="D21" s="92"/>
    </row>
    <row r="25" spans="3:4" ht="15" x14ac:dyDescent="0.25">
      <c r="C25" s="53" t="s">
        <v>143</v>
      </c>
    </row>
  </sheetData>
  <hyperlinks>
    <hyperlink ref="C25" location="'Learning Outcomes'!A1" display="Go to Learning Outcomes" xr:uid="{00000000-0004-0000-0F00-000000000000}"/>
  </hyperlinks>
  <pageMargins left="0.75" right="0.75" top="1" bottom="1" header="0.5" footer="0.5"/>
  <pageSetup paperSize="9" orientation="portrait" horizontalDpi="0" verticalDpi="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 tint="0.39997558519241921"/>
  </sheetPr>
  <dimension ref="B2:H26"/>
  <sheetViews>
    <sheetView zoomScale="145" zoomScaleNormal="145" workbookViewId="0">
      <selection activeCell="A28" sqref="A28"/>
    </sheetView>
  </sheetViews>
  <sheetFormatPr defaultColWidth="9.140625" defaultRowHeight="12.75" x14ac:dyDescent="0.2"/>
  <cols>
    <col min="1" max="1" width="9.140625" style="52"/>
    <col min="2" max="2" width="20.28515625" style="52" customWidth="1"/>
    <col min="3" max="3" width="20.140625" style="52" customWidth="1"/>
    <col min="4" max="4" width="9.140625" style="52"/>
    <col min="5" max="5" width="86.28515625" style="52" customWidth="1"/>
    <col min="6" max="16384" width="9.140625" style="52"/>
  </cols>
  <sheetData>
    <row r="2" spans="2:5" ht="15.75" x14ac:dyDescent="0.25">
      <c r="B2" s="99" t="s">
        <v>230</v>
      </c>
      <c r="C2" s="99" t="s">
        <v>231</v>
      </c>
    </row>
    <row r="3" spans="2:5" ht="15.75" x14ac:dyDescent="0.25">
      <c r="B3" s="97" t="s">
        <v>232</v>
      </c>
      <c r="C3" s="96"/>
      <c r="E3" s="98" t="s">
        <v>233</v>
      </c>
    </row>
    <row r="4" spans="2:5" ht="15.75" x14ac:dyDescent="0.25">
      <c r="B4" s="97" t="s">
        <v>234</v>
      </c>
      <c r="C4" s="96"/>
    </row>
    <row r="5" spans="2:5" ht="15.75" x14ac:dyDescent="0.25">
      <c r="B5" s="97" t="s">
        <v>235</v>
      </c>
      <c r="C5" s="96"/>
    </row>
    <row r="6" spans="2:5" ht="15.75" x14ac:dyDescent="0.25">
      <c r="B6" s="97" t="s">
        <v>236</v>
      </c>
      <c r="C6" s="96"/>
    </row>
    <row r="7" spans="2:5" ht="15.75" x14ac:dyDescent="0.25">
      <c r="B7" s="97" t="s">
        <v>237</v>
      </c>
      <c r="C7" s="96"/>
    </row>
    <row r="8" spans="2:5" ht="15.75" x14ac:dyDescent="0.25">
      <c r="B8" s="97" t="s">
        <v>238</v>
      </c>
      <c r="C8" s="96"/>
    </row>
    <row r="9" spans="2:5" ht="15.75" x14ac:dyDescent="0.25">
      <c r="B9" s="97" t="s">
        <v>239</v>
      </c>
      <c r="C9" s="96"/>
    </row>
    <row r="10" spans="2:5" ht="15.75" x14ac:dyDescent="0.25">
      <c r="B10" s="97" t="s">
        <v>240</v>
      </c>
      <c r="C10" s="96"/>
    </row>
    <row r="11" spans="2:5" ht="15.75" x14ac:dyDescent="0.25">
      <c r="B11" s="97" t="s">
        <v>241</v>
      </c>
      <c r="C11" s="96"/>
    </row>
    <row r="12" spans="2:5" ht="15.75" x14ac:dyDescent="0.25">
      <c r="B12" s="97" t="s">
        <v>242</v>
      </c>
      <c r="C12" s="96"/>
    </row>
    <row r="13" spans="2:5" ht="15.75" x14ac:dyDescent="0.25">
      <c r="B13" s="97" t="s">
        <v>243</v>
      </c>
      <c r="C13" s="96"/>
    </row>
    <row r="14" spans="2:5" ht="15.75" x14ac:dyDescent="0.25">
      <c r="B14" s="97" t="s">
        <v>244</v>
      </c>
      <c r="C14" s="96"/>
    </row>
    <row r="15" spans="2:5" ht="15.75" x14ac:dyDescent="0.25">
      <c r="B15" s="97" t="s">
        <v>245</v>
      </c>
      <c r="C15" s="96"/>
    </row>
    <row r="16" spans="2:5" ht="15.75" x14ac:dyDescent="0.25">
      <c r="B16" s="97" t="s">
        <v>246</v>
      </c>
      <c r="C16" s="96"/>
    </row>
    <row r="20" spans="2:8" ht="15" x14ac:dyDescent="0.25">
      <c r="B20" s="53" t="s">
        <v>143</v>
      </c>
    </row>
    <row r="26" spans="2:8" x14ac:dyDescent="0.2">
      <c r="H26" s="52" t="s">
        <v>144</v>
      </c>
    </row>
  </sheetData>
  <hyperlinks>
    <hyperlink ref="B20" location="'Learning Outcomes'!A1" display="Go to Learning Outcomes" xr:uid="{00000000-0004-0000-1000-000000000000}"/>
  </hyperlinks>
  <pageMargins left="0.75" right="0.75" top="1" bottom="1" header="0.5" footer="0.5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9" tint="0.39997558519241921"/>
  </sheetPr>
  <dimension ref="C4:F17"/>
  <sheetViews>
    <sheetView workbookViewId="0">
      <selection activeCell="A28" sqref="A28"/>
    </sheetView>
  </sheetViews>
  <sheetFormatPr defaultRowHeight="15" x14ac:dyDescent="0.25"/>
  <cols>
    <col min="3" max="3" width="38.28515625" customWidth="1"/>
    <col min="4" max="4" width="47.140625" customWidth="1"/>
    <col min="5" max="5" width="10.85546875" customWidth="1"/>
    <col min="6" max="6" width="71.42578125" customWidth="1"/>
  </cols>
  <sheetData>
    <row r="4" spans="3:6" x14ac:dyDescent="0.25">
      <c r="C4" s="100" t="s">
        <v>247</v>
      </c>
      <c r="D4" s="100"/>
      <c r="F4" s="98" t="s">
        <v>248</v>
      </c>
    </row>
    <row r="5" spans="3:6" x14ac:dyDescent="0.25">
      <c r="C5" s="100" t="s">
        <v>249</v>
      </c>
      <c r="D5" s="100"/>
    </row>
    <row r="6" spans="3:6" x14ac:dyDescent="0.25">
      <c r="C6" s="100" t="s">
        <v>250</v>
      </c>
      <c r="D6" s="100"/>
    </row>
    <row r="7" spans="3:6" x14ac:dyDescent="0.25">
      <c r="C7" s="100" t="s">
        <v>251</v>
      </c>
      <c r="D7" s="100"/>
    </row>
    <row r="8" spans="3:6" x14ac:dyDescent="0.25">
      <c r="C8" s="100" t="s">
        <v>252</v>
      </c>
      <c r="D8" s="100"/>
    </row>
    <row r="9" spans="3:6" x14ac:dyDescent="0.25">
      <c r="C9" s="100" t="s">
        <v>253</v>
      </c>
      <c r="D9" s="100"/>
    </row>
    <row r="10" spans="3:6" x14ac:dyDescent="0.25">
      <c r="C10" s="100" t="s">
        <v>254</v>
      </c>
      <c r="D10" s="100"/>
    </row>
    <row r="11" spans="3:6" x14ac:dyDescent="0.25">
      <c r="C11" s="100" t="s">
        <v>255</v>
      </c>
      <c r="D11" s="100"/>
    </row>
    <row r="12" spans="3:6" x14ac:dyDescent="0.25">
      <c r="C12" s="100" t="s">
        <v>256</v>
      </c>
      <c r="D12" s="100"/>
    </row>
    <row r="13" spans="3:6" x14ac:dyDescent="0.25">
      <c r="C13" s="100" t="s">
        <v>257</v>
      </c>
      <c r="D13" s="100"/>
    </row>
    <row r="17" spans="3:3" x14ac:dyDescent="0.25">
      <c r="C17" s="53" t="s">
        <v>143</v>
      </c>
    </row>
  </sheetData>
  <hyperlinks>
    <hyperlink ref="C17" location="'Learning Outcomes'!A1" display="Go to Learning Outcomes" xr:uid="{00000000-0004-0000-1100-000000000000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9" tint="0.39997558519241921"/>
  </sheetPr>
  <dimension ref="A1:E31"/>
  <sheetViews>
    <sheetView workbookViewId="0">
      <selection activeCell="A28" sqref="A28"/>
    </sheetView>
  </sheetViews>
  <sheetFormatPr defaultRowHeight="15" x14ac:dyDescent="0.25"/>
  <cols>
    <col min="3" max="3" width="17" customWidth="1"/>
    <col min="4" max="4" width="57" customWidth="1"/>
    <col min="5" max="5" width="33.5703125" customWidth="1"/>
  </cols>
  <sheetData>
    <row r="1" spans="1:4" ht="18.75" x14ac:dyDescent="0.3">
      <c r="A1" s="101" t="s">
        <v>258</v>
      </c>
    </row>
    <row r="2" spans="1:4" ht="18.75" x14ac:dyDescent="0.3">
      <c r="A2" s="101" t="s">
        <v>259</v>
      </c>
    </row>
    <row r="3" spans="1:4" ht="18.75" x14ac:dyDescent="0.3">
      <c r="A3" s="101" t="s">
        <v>260</v>
      </c>
    </row>
    <row r="4" spans="1:4" ht="18.75" x14ac:dyDescent="0.3">
      <c r="A4" s="101" t="s">
        <v>261</v>
      </c>
    </row>
    <row r="6" spans="1:4" ht="26.25" x14ac:dyDescent="0.25">
      <c r="C6" s="62"/>
      <c r="D6" s="59" t="s">
        <v>262</v>
      </c>
    </row>
    <row r="19" spans="1:5" ht="18.75" x14ac:dyDescent="0.3">
      <c r="B19" s="101" t="s">
        <v>258</v>
      </c>
      <c r="C19" s="101" t="s">
        <v>263</v>
      </c>
      <c r="D19" s="101" t="s">
        <v>264</v>
      </c>
      <c r="E19" s="101" t="s">
        <v>265</v>
      </c>
    </row>
    <row r="20" spans="1:5" ht="18.75" x14ac:dyDescent="0.3">
      <c r="A20" s="101"/>
      <c r="B20" s="101"/>
      <c r="C20" s="101"/>
      <c r="D20" s="101"/>
    </row>
    <row r="21" spans="1:5" ht="26.25" x14ac:dyDescent="0.25">
      <c r="D21" s="62"/>
      <c r="E21" s="59" t="s">
        <v>266</v>
      </c>
    </row>
    <row r="31" spans="1:5" x14ac:dyDescent="0.25">
      <c r="A31" s="53" t="s">
        <v>143</v>
      </c>
    </row>
  </sheetData>
  <hyperlinks>
    <hyperlink ref="A31" location="'Learning Outcomes'!A1" display="Go to Learning Outcomes" xr:uid="{00000000-0004-0000-1200-000000000000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3" tint="0.79998168889431442"/>
  </sheetPr>
  <dimension ref="A1:C30"/>
  <sheetViews>
    <sheetView workbookViewId="0">
      <selection activeCell="A28" sqref="A28"/>
    </sheetView>
  </sheetViews>
  <sheetFormatPr defaultColWidth="9.140625" defaultRowHeight="12.75" x14ac:dyDescent="0.2"/>
  <cols>
    <col min="1" max="3" width="20.5703125" style="52" customWidth="1"/>
    <col min="4" max="16384" width="9.140625" style="52"/>
  </cols>
  <sheetData>
    <row r="1" spans="1:3" ht="13.5" thickBot="1" x14ac:dyDescent="0.25"/>
    <row r="2" spans="1:3" s="102" customFormat="1" ht="21" customHeight="1" thickTop="1" thickBot="1" x14ac:dyDescent="0.3">
      <c r="A2" s="107" t="s">
        <v>267</v>
      </c>
      <c r="B2" s="107" t="s">
        <v>268</v>
      </c>
      <c r="C2" s="107" t="s">
        <v>269</v>
      </c>
    </row>
    <row r="3" spans="1:3" s="102" customFormat="1" ht="21" customHeight="1" thickTop="1" thickBot="1" x14ac:dyDescent="0.3">
      <c r="A3" s="107" t="s">
        <v>270</v>
      </c>
      <c r="B3" s="106"/>
      <c r="C3" s="106"/>
    </row>
    <row r="4" spans="1:3" ht="13.5" thickTop="1" x14ac:dyDescent="0.2"/>
    <row r="7" spans="1:3" s="102" customFormat="1" ht="14.25" x14ac:dyDescent="0.2">
      <c r="A7" s="105" t="s">
        <v>267</v>
      </c>
      <c r="B7" s="105" t="s">
        <v>271</v>
      </c>
      <c r="C7" s="105" t="s">
        <v>272</v>
      </c>
    </row>
    <row r="8" spans="1:3" s="102" customFormat="1" ht="15.75" x14ac:dyDescent="0.25">
      <c r="A8" s="104" t="s">
        <v>273</v>
      </c>
      <c r="B8" s="103">
        <v>2</v>
      </c>
      <c r="C8" s="103">
        <v>4</v>
      </c>
    </row>
    <row r="9" spans="1:3" s="102" customFormat="1" ht="15.75" x14ac:dyDescent="0.25">
      <c r="A9" s="104" t="s">
        <v>274</v>
      </c>
      <c r="B9" s="103">
        <v>1.5</v>
      </c>
      <c r="C9" s="103">
        <v>3</v>
      </c>
    </row>
    <row r="10" spans="1:3" s="102" customFormat="1" ht="15.75" x14ac:dyDescent="0.25">
      <c r="A10" s="104" t="s">
        <v>270</v>
      </c>
      <c r="B10" s="103">
        <v>0.5</v>
      </c>
      <c r="C10" s="103">
        <v>1</v>
      </c>
    </row>
    <row r="20" spans="1:1" ht="18" x14ac:dyDescent="0.25">
      <c r="A20" s="58" t="s">
        <v>275</v>
      </c>
    </row>
    <row r="23" spans="1:1" ht="18" x14ac:dyDescent="0.25">
      <c r="A23" s="58" t="s">
        <v>276</v>
      </c>
    </row>
    <row r="30" spans="1:1" ht="15" x14ac:dyDescent="0.25">
      <c r="A30" s="53" t="s">
        <v>143</v>
      </c>
    </row>
  </sheetData>
  <hyperlinks>
    <hyperlink ref="A30" location="'Learning Outcomes'!A1" display="Go to Learning Outcomes" xr:uid="{00000000-0004-0000-1300-000000000000}"/>
  </hyperlinks>
  <pageMargins left="0.75" right="0.75" top="1" bottom="1" header="0.5" footer="0.5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3" tint="0.79998168889431442"/>
  </sheetPr>
  <dimension ref="A2:C15"/>
  <sheetViews>
    <sheetView topLeftCell="A7" zoomScale="250" zoomScaleNormal="250" workbookViewId="0">
      <selection activeCell="A28" sqref="A28"/>
    </sheetView>
  </sheetViews>
  <sheetFormatPr defaultColWidth="9.140625" defaultRowHeight="12.75" x14ac:dyDescent="0.2"/>
  <cols>
    <col min="1" max="1" width="16.7109375" style="52" customWidth="1"/>
    <col min="2" max="2" width="16.28515625" style="52" bestFit="1" customWidth="1"/>
    <col min="3" max="3" width="16.42578125" style="52" bestFit="1" customWidth="1"/>
    <col min="4" max="16384" width="9.140625" style="52"/>
  </cols>
  <sheetData>
    <row r="2" spans="1:3" x14ac:dyDescent="0.2">
      <c r="A2" s="113" t="s">
        <v>267</v>
      </c>
      <c r="B2" s="113" t="s">
        <v>268</v>
      </c>
      <c r="C2" s="113" t="s">
        <v>269</v>
      </c>
    </row>
    <row r="3" spans="1:3" x14ac:dyDescent="0.2">
      <c r="A3" s="110" t="s">
        <v>270</v>
      </c>
      <c r="B3" s="112">
        <f>VLOOKUP(A3,A8:C10,2,FALSE)</f>
        <v>0.5</v>
      </c>
      <c r="C3" s="112">
        <f>VLOOKUP(B3,B8:D10,2,FALSE)</f>
        <v>1</v>
      </c>
    </row>
    <row r="4" spans="1:3" x14ac:dyDescent="0.2">
      <c r="C4" s="111"/>
    </row>
    <row r="7" spans="1:3" x14ac:dyDescent="0.2">
      <c r="A7" s="105" t="s">
        <v>267</v>
      </c>
      <c r="B7" s="105" t="s">
        <v>271</v>
      </c>
      <c r="C7" s="105" t="s">
        <v>272</v>
      </c>
    </row>
    <row r="8" spans="1:3" x14ac:dyDescent="0.2">
      <c r="A8" s="110" t="s">
        <v>270</v>
      </c>
      <c r="B8" s="109">
        <v>0.5</v>
      </c>
      <c r="C8" s="109">
        <v>1</v>
      </c>
    </row>
    <row r="9" spans="1:3" x14ac:dyDescent="0.2">
      <c r="A9" s="110" t="s">
        <v>274</v>
      </c>
      <c r="B9" s="109">
        <v>1.5</v>
      </c>
      <c r="C9" s="109">
        <v>3</v>
      </c>
    </row>
    <row r="10" spans="1:3" x14ac:dyDescent="0.2">
      <c r="A10" s="110" t="s">
        <v>273</v>
      </c>
      <c r="B10" s="109">
        <v>2</v>
      </c>
      <c r="C10" s="109">
        <v>4</v>
      </c>
    </row>
    <row r="15" spans="1:3" ht="18" x14ac:dyDescent="0.25">
      <c r="A15" s="108" t="s">
        <v>275</v>
      </c>
    </row>
  </sheetData>
  <pageMargins left="0.75" right="0.75" top="1" bottom="1" header="0.5" footer="0.5"/>
  <headerFooter alignWithMargins="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3" tint="0.79998168889431442"/>
  </sheetPr>
  <dimension ref="E1:O27"/>
  <sheetViews>
    <sheetView workbookViewId="0">
      <selection activeCell="A28" sqref="A28"/>
    </sheetView>
  </sheetViews>
  <sheetFormatPr defaultRowHeight="12.75" x14ac:dyDescent="0.2"/>
  <cols>
    <col min="1" max="4" width="8.85546875" style="114"/>
    <col min="5" max="5" width="17.85546875" style="114" bestFit="1" customWidth="1"/>
    <col min="6" max="6" width="15.42578125" style="114" bestFit="1" customWidth="1"/>
    <col min="7" max="7" width="13.7109375" style="114" bestFit="1" customWidth="1"/>
    <col min="8" max="8" width="12" style="114" bestFit="1" customWidth="1"/>
    <col min="9" max="9" width="16" style="114" bestFit="1" customWidth="1"/>
    <col min="10" max="10" width="8.85546875" style="114"/>
    <col min="11" max="11" width="16" style="114" bestFit="1" customWidth="1"/>
    <col min="12" max="13" width="8.85546875" style="114"/>
    <col min="14" max="14" width="14.7109375" style="114" bestFit="1" customWidth="1"/>
    <col min="15" max="260" width="8.85546875" style="114"/>
    <col min="261" max="261" width="17.85546875" style="114" bestFit="1" customWidth="1"/>
    <col min="262" max="262" width="15.42578125" style="114" bestFit="1" customWidth="1"/>
    <col min="263" max="263" width="13.7109375" style="114" bestFit="1" customWidth="1"/>
    <col min="264" max="264" width="12" style="114" bestFit="1" customWidth="1"/>
    <col min="265" max="265" width="16" style="114" bestFit="1" customWidth="1"/>
    <col min="266" max="266" width="8.85546875" style="114"/>
    <col min="267" max="267" width="16" style="114" bestFit="1" customWidth="1"/>
    <col min="268" max="269" width="8.85546875" style="114"/>
    <col min="270" max="270" width="14.7109375" style="114" bestFit="1" customWidth="1"/>
    <col min="271" max="516" width="8.85546875" style="114"/>
    <col min="517" max="517" width="17.85546875" style="114" bestFit="1" customWidth="1"/>
    <col min="518" max="518" width="15.42578125" style="114" bestFit="1" customWidth="1"/>
    <col min="519" max="519" width="13.7109375" style="114" bestFit="1" customWidth="1"/>
    <col min="520" max="520" width="12" style="114" bestFit="1" customWidth="1"/>
    <col min="521" max="521" width="16" style="114" bestFit="1" customWidth="1"/>
    <col min="522" max="522" width="8.85546875" style="114"/>
    <col min="523" max="523" width="16" style="114" bestFit="1" customWidth="1"/>
    <col min="524" max="525" width="8.85546875" style="114"/>
    <col min="526" max="526" width="14.7109375" style="114" bestFit="1" customWidth="1"/>
    <col min="527" max="772" width="8.85546875" style="114"/>
    <col min="773" max="773" width="17.85546875" style="114" bestFit="1" customWidth="1"/>
    <col min="774" max="774" width="15.42578125" style="114" bestFit="1" customWidth="1"/>
    <col min="775" max="775" width="13.7109375" style="114" bestFit="1" customWidth="1"/>
    <col min="776" max="776" width="12" style="114" bestFit="1" customWidth="1"/>
    <col min="777" max="777" width="16" style="114" bestFit="1" customWidth="1"/>
    <col min="778" max="778" width="8.85546875" style="114"/>
    <col min="779" max="779" width="16" style="114" bestFit="1" customWidth="1"/>
    <col min="780" max="781" width="8.85546875" style="114"/>
    <col min="782" max="782" width="14.7109375" style="114" bestFit="1" customWidth="1"/>
    <col min="783" max="1028" width="8.85546875" style="114"/>
    <col min="1029" max="1029" width="17.85546875" style="114" bestFit="1" customWidth="1"/>
    <col min="1030" max="1030" width="15.42578125" style="114" bestFit="1" customWidth="1"/>
    <col min="1031" max="1031" width="13.7109375" style="114" bestFit="1" customWidth="1"/>
    <col min="1032" max="1032" width="12" style="114" bestFit="1" customWidth="1"/>
    <col min="1033" max="1033" width="16" style="114" bestFit="1" customWidth="1"/>
    <col min="1034" max="1034" width="8.85546875" style="114"/>
    <col min="1035" max="1035" width="16" style="114" bestFit="1" customWidth="1"/>
    <col min="1036" max="1037" width="8.85546875" style="114"/>
    <col min="1038" max="1038" width="14.7109375" style="114" bestFit="1" customWidth="1"/>
    <col min="1039" max="1284" width="8.85546875" style="114"/>
    <col min="1285" max="1285" width="17.85546875" style="114" bestFit="1" customWidth="1"/>
    <col min="1286" max="1286" width="15.42578125" style="114" bestFit="1" customWidth="1"/>
    <col min="1287" max="1287" width="13.7109375" style="114" bestFit="1" customWidth="1"/>
    <col min="1288" max="1288" width="12" style="114" bestFit="1" customWidth="1"/>
    <col min="1289" max="1289" width="16" style="114" bestFit="1" customWidth="1"/>
    <col min="1290" max="1290" width="8.85546875" style="114"/>
    <col min="1291" max="1291" width="16" style="114" bestFit="1" customWidth="1"/>
    <col min="1292" max="1293" width="8.85546875" style="114"/>
    <col min="1294" max="1294" width="14.7109375" style="114" bestFit="1" customWidth="1"/>
    <col min="1295" max="1540" width="8.85546875" style="114"/>
    <col min="1541" max="1541" width="17.85546875" style="114" bestFit="1" customWidth="1"/>
    <col min="1542" max="1542" width="15.42578125" style="114" bestFit="1" customWidth="1"/>
    <col min="1543" max="1543" width="13.7109375" style="114" bestFit="1" customWidth="1"/>
    <col min="1544" max="1544" width="12" style="114" bestFit="1" customWidth="1"/>
    <col min="1545" max="1545" width="16" style="114" bestFit="1" customWidth="1"/>
    <col min="1546" max="1546" width="8.85546875" style="114"/>
    <col min="1547" max="1547" width="16" style="114" bestFit="1" customWidth="1"/>
    <col min="1548" max="1549" width="8.85546875" style="114"/>
    <col min="1550" max="1550" width="14.7109375" style="114" bestFit="1" customWidth="1"/>
    <col min="1551" max="1796" width="8.85546875" style="114"/>
    <col min="1797" max="1797" width="17.85546875" style="114" bestFit="1" customWidth="1"/>
    <col min="1798" max="1798" width="15.42578125" style="114" bestFit="1" customWidth="1"/>
    <col min="1799" max="1799" width="13.7109375" style="114" bestFit="1" customWidth="1"/>
    <col min="1800" max="1800" width="12" style="114" bestFit="1" customWidth="1"/>
    <col min="1801" max="1801" width="16" style="114" bestFit="1" customWidth="1"/>
    <col min="1802" max="1802" width="8.85546875" style="114"/>
    <col min="1803" max="1803" width="16" style="114" bestFit="1" customWidth="1"/>
    <col min="1804" max="1805" width="8.85546875" style="114"/>
    <col min="1806" max="1806" width="14.7109375" style="114" bestFit="1" customWidth="1"/>
    <col min="1807" max="2052" width="8.85546875" style="114"/>
    <col min="2053" max="2053" width="17.85546875" style="114" bestFit="1" customWidth="1"/>
    <col min="2054" max="2054" width="15.42578125" style="114" bestFit="1" customWidth="1"/>
    <col min="2055" max="2055" width="13.7109375" style="114" bestFit="1" customWidth="1"/>
    <col min="2056" max="2056" width="12" style="114" bestFit="1" customWidth="1"/>
    <col min="2057" max="2057" width="16" style="114" bestFit="1" customWidth="1"/>
    <col min="2058" max="2058" width="8.85546875" style="114"/>
    <col min="2059" max="2059" width="16" style="114" bestFit="1" customWidth="1"/>
    <col min="2060" max="2061" width="8.85546875" style="114"/>
    <col min="2062" max="2062" width="14.7109375" style="114" bestFit="1" customWidth="1"/>
    <col min="2063" max="2308" width="8.85546875" style="114"/>
    <col min="2309" max="2309" width="17.85546875" style="114" bestFit="1" customWidth="1"/>
    <col min="2310" max="2310" width="15.42578125" style="114" bestFit="1" customWidth="1"/>
    <col min="2311" max="2311" width="13.7109375" style="114" bestFit="1" customWidth="1"/>
    <col min="2312" max="2312" width="12" style="114" bestFit="1" customWidth="1"/>
    <col min="2313" max="2313" width="16" style="114" bestFit="1" customWidth="1"/>
    <col min="2314" max="2314" width="8.85546875" style="114"/>
    <col min="2315" max="2315" width="16" style="114" bestFit="1" customWidth="1"/>
    <col min="2316" max="2317" width="8.85546875" style="114"/>
    <col min="2318" max="2318" width="14.7109375" style="114" bestFit="1" customWidth="1"/>
    <col min="2319" max="2564" width="8.85546875" style="114"/>
    <col min="2565" max="2565" width="17.85546875" style="114" bestFit="1" customWidth="1"/>
    <col min="2566" max="2566" width="15.42578125" style="114" bestFit="1" customWidth="1"/>
    <col min="2567" max="2567" width="13.7109375" style="114" bestFit="1" customWidth="1"/>
    <col min="2568" max="2568" width="12" style="114" bestFit="1" customWidth="1"/>
    <col min="2569" max="2569" width="16" style="114" bestFit="1" customWidth="1"/>
    <col min="2570" max="2570" width="8.85546875" style="114"/>
    <col min="2571" max="2571" width="16" style="114" bestFit="1" customWidth="1"/>
    <col min="2572" max="2573" width="8.85546875" style="114"/>
    <col min="2574" max="2574" width="14.7109375" style="114" bestFit="1" customWidth="1"/>
    <col min="2575" max="2820" width="8.85546875" style="114"/>
    <col min="2821" max="2821" width="17.85546875" style="114" bestFit="1" customWidth="1"/>
    <col min="2822" max="2822" width="15.42578125" style="114" bestFit="1" customWidth="1"/>
    <col min="2823" max="2823" width="13.7109375" style="114" bestFit="1" customWidth="1"/>
    <col min="2824" max="2824" width="12" style="114" bestFit="1" customWidth="1"/>
    <col min="2825" max="2825" width="16" style="114" bestFit="1" customWidth="1"/>
    <col min="2826" max="2826" width="8.85546875" style="114"/>
    <col min="2827" max="2827" width="16" style="114" bestFit="1" customWidth="1"/>
    <col min="2828" max="2829" width="8.85546875" style="114"/>
    <col min="2830" max="2830" width="14.7109375" style="114" bestFit="1" customWidth="1"/>
    <col min="2831" max="3076" width="8.85546875" style="114"/>
    <col min="3077" max="3077" width="17.85546875" style="114" bestFit="1" customWidth="1"/>
    <col min="3078" max="3078" width="15.42578125" style="114" bestFit="1" customWidth="1"/>
    <col min="3079" max="3079" width="13.7109375" style="114" bestFit="1" customWidth="1"/>
    <col min="3080" max="3080" width="12" style="114" bestFit="1" customWidth="1"/>
    <col min="3081" max="3081" width="16" style="114" bestFit="1" customWidth="1"/>
    <col min="3082" max="3082" width="8.85546875" style="114"/>
    <col min="3083" max="3083" width="16" style="114" bestFit="1" customWidth="1"/>
    <col min="3084" max="3085" width="8.85546875" style="114"/>
    <col min="3086" max="3086" width="14.7109375" style="114" bestFit="1" customWidth="1"/>
    <col min="3087" max="3332" width="8.85546875" style="114"/>
    <col min="3333" max="3333" width="17.85546875" style="114" bestFit="1" customWidth="1"/>
    <col min="3334" max="3334" width="15.42578125" style="114" bestFit="1" customWidth="1"/>
    <col min="3335" max="3335" width="13.7109375" style="114" bestFit="1" customWidth="1"/>
    <col min="3336" max="3336" width="12" style="114" bestFit="1" customWidth="1"/>
    <col min="3337" max="3337" width="16" style="114" bestFit="1" customWidth="1"/>
    <col min="3338" max="3338" width="8.85546875" style="114"/>
    <col min="3339" max="3339" width="16" style="114" bestFit="1" customWidth="1"/>
    <col min="3340" max="3341" width="8.85546875" style="114"/>
    <col min="3342" max="3342" width="14.7109375" style="114" bestFit="1" customWidth="1"/>
    <col min="3343" max="3588" width="8.85546875" style="114"/>
    <col min="3589" max="3589" width="17.85546875" style="114" bestFit="1" customWidth="1"/>
    <col min="3590" max="3590" width="15.42578125" style="114" bestFit="1" customWidth="1"/>
    <col min="3591" max="3591" width="13.7109375" style="114" bestFit="1" customWidth="1"/>
    <col min="3592" max="3592" width="12" style="114" bestFit="1" customWidth="1"/>
    <col min="3593" max="3593" width="16" style="114" bestFit="1" customWidth="1"/>
    <col min="3594" max="3594" width="8.85546875" style="114"/>
    <col min="3595" max="3595" width="16" style="114" bestFit="1" customWidth="1"/>
    <col min="3596" max="3597" width="8.85546875" style="114"/>
    <col min="3598" max="3598" width="14.7109375" style="114" bestFit="1" customWidth="1"/>
    <col min="3599" max="3844" width="8.85546875" style="114"/>
    <col min="3845" max="3845" width="17.85546875" style="114" bestFit="1" customWidth="1"/>
    <col min="3846" max="3846" width="15.42578125" style="114" bestFit="1" customWidth="1"/>
    <col min="3847" max="3847" width="13.7109375" style="114" bestFit="1" customWidth="1"/>
    <col min="3848" max="3848" width="12" style="114" bestFit="1" customWidth="1"/>
    <col min="3849" max="3849" width="16" style="114" bestFit="1" customWidth="1"/>
    <col min="3850" max="3850" width="8.85546875" style="114"/>
    <col min="3851" max="3851" width="16" style="114" bestFit="1" customWidth="1"/>
    <col min="3852" max="3853" width="8.85546875" style="114"/>
    <col min="3854" max="3854" width="14.7109375" style="114" bestFit="1" customWidth="1"/>
    <col min="3855" max="4100" width="8.85546875" style="114"/>
    <col min="4101" max="4101" width="17.85546875" style="114" bestFit="1" customWidth="1"/>
    <col min="4102" max="4102" width="15.42578125" style="114" bestFit="1" customWidth="1"/>
    <col min="4103" max="4103" width="13.7109375" style="114" bestFit="1" customWidth="1"/>
    <col min="4104" max="4104" width="12" style="114" bestFit="1" customWidth="1"/>
    <col min="4105" max="4105" width="16" style="114" bestFit="1" customWidth="1"/>
    <col min="4106" max="4106" width="8.85546875" style="114"/>
    <col min="4107" max="4107" width="16" style="114" bestFit="1" customWidth="1"/>
    <col min="4108" max="4109" width="8.85546875" style="114"/>
    <col min="4110" max="4110" width="14.7109375" style="114" bestFit="1" customWidth="1"/>
    <col min="4111" max="4356" width="8.85546875" style="114"/>
    <col min="4357" max="4357" width="17.85546875" style="114" bestFit="1" customWidth="1"/>
    <col min="4358" max="4358" width="15.42578125" style="114" bestFit="1" customWidth="1"/>
    <col min="4359" max="4359" width="13.7109375" style="114" bestFit="1" customWidth="1"/>
    <col min="4360" max="4360" width="12" style="114" bestFit="1" customWidth="1"/>
    <col min="4361" max="4361" width="16" style="114" bestFit="1" customWidth="1"/>
    <col min="4362" max="4362" width="8.85546875" style="114"/>
    <col min="4363" max="4363" width="16" style="114" bestFit="1" customWidth="1"/>
    <col min="4364" max="4365" width="8.85546875" style="114"/>
    <col min="4366" max="4366" width="14.7109375" style="114" bestFit="1" customWidth="1"/>
    <col min="4367" max="4612" width="8.85546875" style="114"/>
    <col min="4613" max="4613" width="17.85546875" style="114" bestFit="1" customWidth="1"/>
    <col min="4614" max="4614" width="15.42578125" style="114" bestFit="1" customWidth="1"/>
    <col min="4615" max="4615" width="13.7109375" style="114" bestFit="1" customWidth="1"/>
    <col min="4616" max="4616" width="12" style="114" bestFit="1" customWidth="1"/>
    <col min="4617" max="4617" width="16" style="114" bestFit="1" customWidth="1"/>
    <col min="4618" max="4618" width="8.85546875" style="114"/>
    <col min="4619" max="4619" width="16" style="114" bestFit="1" customWidth="1"/>
    <col min="4620" max="4621" width="8.85546875" style="114"/>
    <col min="4622" max="4622" width="14.7109375" style="114" bestFit="1" customWidth="1"/>
    <col min="4623" max="4868" width="8.85546875" style="114"/>
    <col min="4869" max="4869" width="17.85546875" style="114" bestFit="1" customWidth="1"/>
    <col min="4870" max="4870" width="15.42578125" style="114" bestFit="1" customWidth="1"/>
    <col min="4871" max="4871" width="13.7109375" style="114" bestFit="1" customWidth="1"/>
    <col min="4872" max="4872" width="12" style="114" bestFit="1" customWidth="1"/>
    <col min="4873" max="4873" width="16" style="114" bestFit="1" customWidth="1"/>
    <col min="4874" max="4874" width="8.85546875" style="114"/>
    <col min="4875" max="4875" width="16" style="114" bestFit="1" customWidth="1"/>
    <col min="4876" max="4877" width="8.85546875" style="114"/>
    <col min="4878" max="4878" width="14.7109375" style="114" bestFit="1" customWidth="1"/>
    <col min="4879" max="5124" width="8.85546875" style="114"/>
    <col min="5125" max="5125" width="17.85546875" style="114" bestFit="1" customWidth="1"/>
    <col min="5126" max="5126" width="15.42578125" style="114" bestFit="1" customWidth="1"/>
    <col min="5127" max="5127" width="13.7109375" style="114" bestFit="1" customWidth="1"/>
    <col min="5128" max="5128" width="12" style="114" bestFit="1" customWidth="1"/>
    <col min="5129" max="5129" width="16" style="114" bestFit="1" customWidth="1"/>
    <col min="5130" max="5130" width="8.85546875" style="114"/>
    <col min="5131" max="5131" width="16" style="114" bestFit="1" customWidth="1"/>
    <col min="5132" max="5133" width="8.85546875" style="114"/>
    <col min="5134" max="5134" width="14.7109375" style="114" bestFit="1" customWidth="1"/>
    <col min="5135" max="5380" width="8.85546875" style="114"/>
    <col min="5381" max="5381" width="17.85546875" style="114" bestFit="1" customWidth="1"/>
    <col min="5382" max="5382" width="15.42578125" style="114" bestFit="1" customWidth="1"/>
    <col min="5383" max="5383" width="13.7109375" style="114" bestFit="1" customWidth="1"/>
    <col min="5384" max="5384" width="12" style="114" bestFit="1" customWidth="1"/>
    <col min="5385" max="5385" width="16" style="114" bestFit="1" customWidth="1"/>
    <col min="5386" max="5386" width="8.85546875" style="114"/>
    <col min="5387" max="5387" width="16" style="114" bestFit="1" customWidth="1"/>
    <col min="5388" max="5389" width="8.85546875" style="114"/>
    <col min="5390" max="5390" width="14.7109375" style="114" bestFit="1" customWidth="1"/>
    <col min="5391" max="5636" width="8.85546875" style="114"/>
    <col min="5637" max="5637" width="17.85546875" style="114" bestFit="1" customWidth="1"/>
    <col min="5638" max="5638" width="15.42578125" style="114" bestFit="1" customWidth="1"/>
    <col min="5639" max="5639" width="13.7109375" style="114" bestFit="1" customWidth="1"/>
    <col min="5640" max="5640" width="12" style="114" bestFit="1" customWidth="1"/>
    <col min="5641" max="5641" width="16" style="114" bestFit="1" customWidth="1"/>
    <col min="5642" max="5642" width="8.85546875" style="114"/>
    <col min="5643" max="5643" width="16" style="114" bestFit="1" customWidth="1"/>
    <col min="5644" max="5645" width="8.85546875" style="114"/>
    <col min="5646" max="5646" width="14.7109375" style="114" bestFit="1" customWidth="1"/>
    <col min="5647" max="5892" width="8.85546875" style="114"/>
    <col min="5893" max="5893" width="17.85546875" style="114" bestFit="1" customWidth="1"/>
    <col min="5894" max="5894" width="15.42578125" style="114" bestFit="1" customWidth="1"/>
    <col min="5895" max="5895" width="13.7109375" style="114" bestFit="1" customWidth="1"/>
    <col min="5896" max="5896" width="12" style="114" bestFit="1" customWidth="1"/>
    <col min="5897" max="5897" width="16" style="114" bestFit="1" customWidth="1"/>
    <col min="5898" max="5898" width="8.85546875" style="114"/>
    <col min="5899" max="5899" width="16" style="114" bestFit="1" customWidth="1"/>
    <col min="5900" max="5901" width="8.85546875" style="114"/>
    <col min="5902" max="5902" width="14.7109375" style="114" bestFit="1" customWidth="1"/>
    <col min="5903" max="6148" width="8.85546875" style="114"/>
    <col min="6149" max="6149" width="17.85546875" style="114" bestFit="1" customWidth="1"/>
    <col min="6150" max="6150" width="15.42578125" style="114" bestFit="1" customWidth="1"/>
    <col min="6151" max="6151" width="13.7109375" style="114" bestFit="1" customWidth="1"/>
    <col min="6152" max="6152" width="12" style="114" bestFit="1" customWidth="1"/>
    <col min="6153" max="6153" width="16" style="114" bestFit="1" customWidth="1"/>
    <col min="6154" max="6154" width="8.85546875" style="114"/>
    <col min="6155" max="6155" width="16" style="114" bestFit="1" customWidth="1"/>
    <col min="6156" max="6157" width="8.85546875" style="114"/>
    <col min="6158" max="6158" width="14.7109375" style="114" bestFit="1" customWidth="1"/>
    <col min="6159" max="6404" width="8.85546875" style="114"/>
    <col min="6405" max="6405" width="17.85546875" style="114" bestFit="1" customWidth="1"/>
    <col min="6406" max="6406" width="15.42578125" style="114" bestFit="1" customWidth="1"/>
    <col min="6407" max="6407" width="13.7109375" style="114" bestFit="1" customWidth="1"/>
    <col min="6408" max="6408" width="12" style="114" bestFit="1" customWidth="1"/>
    <col min="6409" max="6409" width="16" style="114" bestFit="1" customWidth="1"/>
    <col min="6410" max="6410" width="8.85546875" style="114"/>
    <col min="6411" max="6411" width="16" style="114" bestFit="1" customWidth="1"/>
    <col min="6412" max="6413" width="8.85546875" style="114"/>
    <col min="6414" max="6414" width="14.7109375" style="114" bestFit="1" customWidth="1"/>
    <col min="6415" max="6660" width="8.85546875" style="114"/>
    <col min="6661" max="6661" width="17.85546875" style="114" bestFit="1" customWidth="1"/>
    <col min="6662" max="6662" width="15.42578125" style="114" bestFit="1" customWidth="1"/>
    <col min="6663" max="6663" width="13.7109375" style="114" bestFit="1" customWidth="1"/>
    <col min="6664" max="6664" width="12" style="114" bestFit="1" customWidth="1"/>
    <col min="6665" max="6665" width="16" style="114" bestFit="1" customWidth="1"/>
    <col min="6666" max="6666" width="8.85546875" style="114"/>
    <col min="6667" max="6667" width="16" style="114" bestFit="1" customWidth="1"/>
    <col min="6668" max="6669" width="8.85546875" style="114"/>
    <col min="6670" max="6670" width="14.7109375" style="114" bestFit="1" customWidth="1"/>
    <col min="6671" max="6916" width="8.85546875" style="114"/>
    <col min="6917" max="6917" width="17.85546875" style="114" bestFit="1" customWidth="1"/>
    <col min="6918" max="6918" width="15.42578125" style="114" bestFit="1" customWidth="1"/>
    <col min="6919" max="6919" width="13.7109375" style="114" bestFit="1" customWidth="1"/>
    <col min="6920" max="6920" width="12" style="114" bestFit="1" customWidth="1"/>
    <col min="6921" max="6921" width="16" style="114" bestFit="1" customWidth="1"/>
    <col min="6922" max="6922" width="8.85546875" style="114"/>
    <col min="6923" max="6923" width="16" style="114" bestFit="1" customWidth="1"/>
    <col min="6924" max="6925" width="8.85546875" style="114"/>
    <col min="6926" max="6926" width="14.7109375" style="114" bestFit="1" customWidth="1"/>
    <col min="6927" max="7172" width="8.85546875" style="114"/>
    <col min="7173" max="7173" width="17.85546875" style="114" bestFit="1" customWidth="1"/>
    <col min="7174" max="7174" width="15.42578125" style="114" bestFit="1" customWidth="1"/>
    <col min="7175" max="7175" width="13.7109375" style="114" bestFit="1" customWidth="1"/>
    <col min="7176" max="7176" width="12" style="114" bestFit="1" customWidth="1"/>
    <col min="7177" max="7177" width="16" style="114" bestFit="1" customWidth="1"/>
    <col min="7178" max="7178" width="8.85546875" style="114"/>
    <col min="7179" max="7179" width="16" style="114" bestFit="1" customWidth="1"/>
    <col min="7180" max="7181" width="8.85546875" style="114"/>
    <col min="7182" max="7182" width="14.7109375" style="114" bestFit="1" customWidth="1"/>
    <col min="7183" max="7428" width="8.85546875" style="114"/>
    <col min="7429" max="7429" width="17.85546875" style="114" bestFit="1" customWidth="1"/>
    <col min="7430" max="7430" width="15.42578125" style="114" bestFit="1" customWidth="1"/>
    <col min="7431" max="7431" width="13.7109375" style="114" bestFit="1" customWidth="1"/>
    <col min="7432" max="7432" width="12" style="114" bestFit="1" customWidth="1"/>
    <col min="7433" max="7433" width="16" style="114" bestFit="1" customWidth="1"/>
    <col min="7434" max="7434" width="8.85546875" style="114"/>
    <col min="7435" max="7435" width="16" style="114" bestFit="1" customWidth="1"/>
    <col min="7436" max="7437" width="8.85546875" style="114"/>
    <col min="7438" max="7438" width="14.7109375" style="114" bestFit="1" customWidth="1"/>
    <col min="7439" max="7684" width="8.85546875" style="114"/>
    <col min="7685" max="7685" width="17.85546875" style="114" bestFit="1" customWidth="1"/>
    <col min="7686" max="7686" width="15.42578125" style="114" bestFit="1" customWidth="1"/>
    <col min="7687" max="7687" width="13.7109375" style="114" bestFit="1" customWidth="1"/>
    <col min="7688" max="7688" width="12" style="114" bestFit="1" customWidth="1"/>
    <col min="7689" max="7689" width="16" style="114" bestFit="1" customWidth="1"/>
    <col min="7690" max="7690" width="8.85546875" style="114"/>
    <col min="7691" max="7691" width="16" style="114" bestFit="1" customWidth="1"/>
    <col min="7692" max="7693" width="8.85546875" style="114"/>
    <col min="7694" max="7694" width="14.7109375" style="114" bestFit="1" customWidth="1"/>
    <col min="7695" max="7940" width="8.85546875" style="114"/>
    <col min="7941" max="7941" width="17.85546875" style="114" bestFit="1" customWidth="1"/>
    <col min="7942" max="7942" width="15.42578125" style="114" bestFit="1" customWidth="1"/>
    <col min="7943" max="7943" width="13.7109375" style="114" bestFit="1" customWidth="1"/>
    <col min="7944" max="7944" width="12" style="114" bestFit="1" customWidth="1"/>
    <col min="7945" max="7945" width="16" style="114" bestFit="1" customWidth="1"/>
    <col min="7946" max="7946" width="8.85546875" style="114"/>
    <col min="7947" max="7947" width="16" style="114" bestFit="1" customWidth="1"/>
    <col min="7948" max="7949" width="8.85546875" style="114"/>
    <col min="7950" max="7950" width="14.7109375" style="114" bestFit="1" customWidth="1"/>
    <col min="7951" max="8196" width="8.85546875" style="114"/>
    <col min="8197" max="8197" width="17.85546875" style="114" bestFit="1" customWidth="1"/>
    <col min="8198" max="8198" width="15.42578125" style="114" bestFit="1" customWidth="1"/>
    <col min="8199" max="8199" width="13.7109375" style="114" bestFit="1" customWidth="1"/>
    <col min="8200" max="8200" width="12" style="114" bestFit="1" customWidth="1"/>
    <col min="8201" max="8201" width="16" style="114" bestFit="1" customWidth="1"/>
    <col min="8202" max="8202" width="8.85546875" style="114"/>
    <col min="8203" max="8203" width="16" style="114" bestFit="1" customWidth="1"/>
    <col min="8204" max="8205" width="8.85546875" style="114"/>
    <col min="8206" max="8206" width="14.7109375" style="114" bestFit="1" customWidth="1"/>
    <col min="8207" max="8452" width="8.85546875" style="114"/>
    <col min="8453" max="8453" width="17.85546875" style="114" bestFit="1" customWidth="1"/>
    <col min="8454" max="8454" width="15.42578125" style="114" bestFit="1" customWidth="1"/>
    <col min="8455" max="8455" width="13.7109375" style="114" bestFit="1" customWidth="1"/>
    <col min="8456" max="8456" width="12" style="114" bestFit="1" customWidth="1"/>
    <col min="8457" max="8457" width="16" style="114" bestFit="1" customWidth="1"/>
    <col min="8458" max="8458" width="8.85546875" style="114"/>
    <col min="8459" max="8459" width="16" style="114" bestFit="1" customWidth="1"/>
    <col min="8460" max="8461" width="8.85546875" style="114"/>
    <col min="8462" max="8462" width="14.7109375" style="114" bestFit="1" customWidth="1"/>
    <col min="8463" max="8708" width="8.85546875" style="114"/>
    <col min="8709" max="8709" width="17.85546875" style="114" bestFit="1" customWidth="1"/>
    <col min="8710" max="8710" width="15.42578125" style="114" bestFit="1" customWidth="1"/>
    <col min="8711" max="8711" width="13.7109375" style="114" bestFit="1" customWidth="1"/>
    <col min="8712" max="8712" width="12" style="114" bestFit="1" customWidth="1"/>
    <col min="8713" max="8713" width="16" style="114" bestFit="1" customWidth="1"/>
    <col min="8714" max="8714" width="8.85546875" style="114"/>
    <col min="8715" max="8715" width="16" style="114" bestFit="1" customWidth="1"/>
    <col min="8716" max="8717" width="8.85546875" style="114"/>
    <col min="8718" max="8718" width="14.7109375" style="114" bestFit="1" customWidth="1"/>
    <col min="8719" max="8964" width="8.85546875" style="114"/>
    <col min="8965" max="8965" width="17.85546875" style="114" bestFit="1" customWidth="1"/>
    <col min="8966" max="8966" width="15.42578125" style="114" bestFit="1" customWidth="1"/>
    <col min="8967" max="8967" width="13.7109375" style="114" bestFit="1" customWidth="1"/>
    <col min="8968" max="8968" width="12" style="114" bestFit="1" customWidth="1"/>
    <col min="8969" max="8969" width="16" style="114" bestFit="1" customWidth="1"/>
    <col min="8970" max="8970" width="8.85546875" style="114"/>
    <col min="8971" max="8971" width="16" style="114" bestFit="1" customWidth="1"/>
    <col min="8972" max="8973" width="8.85546875" style="114"/>
    <col min="8974" max="8974" width="14.7109375" style="114" bestFit="1" customWidth="1"/>
    <col min="8975" max="9220" width="8.85546875" style="114"/>
    <col min="9221" max="9221" width="17.85546875" style="114" bestFit="1" customWidth="1"/>
    <col min="9222" max="9222" width="15.42578125" style="114" bestFit="1" customWidth="1"/>
    <col min="9223" max="9223" width="13.7109375" style="114" bestFit="1" customWidth="1"/>
    <col min="9224" max="9224" width="12" style="114" bestFit="1" customWidth="1"/>
    <col min="9225" max="9225" width="16" style="114" bestFit="1" customWidth="1"/>
    <col min="9226" max="9226" width="8.85546875" style="114"/>
    <col min="9227" max="9227" width="16" style="114" bestFit="1" customWidth="1"/>
    <col min="9228" max="9229" width="8.85546875" style="114"/>
    <col min="9230" max="9230" width="14.7109375" style="114" bestFit="1" customWidth="1"/>
    <col min="9231" max="9476" width="8.85546875" style="114"/>
    <col min="9477" max="9477" width="17.85546875" style="114" bestFit="1" customWidth="1"/>
    <col min="9478" max="9478" width="15.42578125" style="114" bestFit="1" customWidth="1"/>
    <col min="9479" max="9479" width="13.7109375" style="114" bestFit="1" customWidth="1"/>
    <col min="9480" max="9480" width="12" style="114" bestFit="1" customWidth="1"/>
    <col min="9481" max="9481" width="16" style="114" bestFit="1" customWidth="1"/>
    <col min="9482" max="9482" width="8.85546875" style="114"/>
    <col min="9483" max="9483" width="16" style="114" bestFit="1" customWidth="1"/>
    <col min="9484" max="9485" width="8.85546875" style="114"/>
    <col min="9486" max="9486" width="14.7109375" style="114" bestFit="1" customWidth="1"/>
    <col min="9487" max="9732" width="8.85546875" style="114"/>
    <col min="9733" max="9733" width="17.85546875" style="114" bestFit="1" customWidth="1"/>
    <col min="9734" max="9734" width="15.42578125" style="114" bestFit="1" customWidth="1"/>
    <col min="9735" max="9735" width="13.7109375" style="114" bestFit="1" customWidth="1"/>
    <col min="9736" max="9736" width="12" style="114" bestFit="1" customWidth="1"/>
    <col min="9737" max="9737" width="16" style="114" bestFit="1" customWidth="1"/>
    <col min="9738" max="9738" width="8.85546875" style="114"/>
    <col min="9739" max="9739" width="16" style="114" bestFit="1" customWidth="1"/>
    <col min="9740" max="9741" width="8.85546875" style="114"/>
    <col min="9742" max="9742" width="14.7109375" style="114" bestFit="1" customWidth="1"/>
    <col min="9743" max="9988" width="8.85546875" style="114"/>
    <col min="9989" max="9989" width="17.85546875" style="114" bestFit="1" customWidth="1"/>
    <col min="9990" max="9990" width="15.42578125" style="114" bestFit="1" customWidth="1"/>
    <col min="9991" max="9991" width="13.7109375" style="114" bestFit="1" customWidth="1"/>
    <col min="9992" max="9992" width="12" style="114" bestFit="1" customWidth="1"/>
    <col min="9993" max="9993" width="16" style="114" bestFit="1" customWidth="1"/>
    <col min="9994" max="9994" width="8.85546875" style="114"/>
    <col min="9995" max="9995" width="16" style="114" bestFit="1" customWidth="1"/>
    <col min="9996" max="9997" width="8.85546875" style="114"/>
    <col min="9998" max="9998" width="14.7109375" style="114" bestFit="1" customWidth="1"/>
    <col min="9999" max="10244" width="8.85546875" style="114"/>
    <col min="10245" max="10245" width="17.85546875" style="114" bestFit="1" customWidth="1"/>
    <col min="10246" max="10246" width="15.42578125" style="114" bestFit="1" customWidth="1"/>
    <col min="10247" max="10247" width="13.7109375" style="114" bestFit="1" customWidth="1"/>
    <col min="10248" max="10248" width="12" style="114" bestFit="1" customWidth="1"/>
    <col min="10249" max="10249" width="16" style="114" bestFit="1" customWidth="1"/>
    <col min="10250" max="10250" width="8.85546875" style="114"/>
    <col min="10251" max="10251" width="16" style="114" bestFit="1" customWidth="1"/>
    <col min="10252" max="10253" width="8.85546875" style="114"/>
    <col min="10254" max="10254" width="14.7109375" style="114" bestFit="1" customWidth="1"/>
    <col min="10255" max="10500" width="8.85546875" style="114"/>
    <col min="10501" max="10501" width="17.85546875" style="114" bestFit="1" customWidth="1"/>
    <col min="10502" max="10502" width="15.42578125" style="114" bestFit="1" customWidth="1"/>
    <col min="10503" max="10503" width="13.7109375" style="114" bestFit="1" customWidth="1"/>
    <col min="10504" max="10504" width="12" style="114" bestFit="1" customWidth="1"/>
    <col min="10505" max="10505" width="16" style="114" bestFit="1" customWidth="1"/>
    <col min="10506" max="10506" width="8.85546875" style="114"/>
    <col min="10507" max="10507" width="16" style="114" bestFit="1" customWidth="1"/>
    <col min="10508" max="10509" width="8.85546875" style="114"/>
    <col min="10510" max="10510" width="14.7109375" style="114" bestFit="1" customWidth="1"/>
    <col min="10511" max="10756" width="8.85546875" style="114"/>
    <col min="10757" max="10757" width="17.85546875" style="114" bestFit="1" customWidth="1"/>
    <col min="10758" max="10758" width="15.42578125" style="114" bestFit="1" customWidth="1"/>
    <col min="10759" max="10759" width="13.7109375" style="114" bestFit="1" customWidth="1"/>
    <col min="10760" max="10760" width="12" style="114" bestFit="1" customWidth="1"/>
    <col min="10761" max="10761" width="16" style="114" bestFit="1" customWidth="1"/>
    <col min="10762" max="10762" width="8.85546875" style="114"/>
    <col min="10763" max="10763" width="16" style="114" bestFit="1" customWidth="1"/>
    <col min="10764" max="10765" width="8.85546875" style="114"/>
    <col min="10766" max="10766" width="14.7109375" style="114" bestFit="1" customWidth="1"/>
    <col min="10767" max="11012" width="8.85546875" style="114"/>
    <col min="11013" max="11013" width="17.85546875" style="114" bestFit="1" customWidth="1"/>
    <col min="11014" max="11014" width="15.42578125" style="114" bestFit="1" customWidth="1"/>
    <col min="11015" max="11015" width="13.7109375" style="114" bestFit="1" customWidth="1"/>
    <col min="11016" max="11016" width="12" style="114" bestFit="1" customWidth="1"/>
    <col min="11017" max="11017" width="16" style="114" bestFit="1" customWidth="1"/>
    <col min="11018" max="11018" width="8.85546875" style="114"/>
    <col min="11019" max="11019" width="16" style="114" bestFit="1" customWidth="1"/>
    <col min="11020" max="11021" width="8.85546875" style="114"/>
    <col min="11022" max="11022" width="14.7109375" style="114" bestFit="1" customWidth="1"/>
    <col min="11023" max="11268" width="8.85546875" style="114"/>
    <col min="11269" max="11269" width="17.85546875" style="114" bestFit="1" customWidth="1"/>
    <col min="11270" max="11270" width="15.42578125" style="114" bestFit="1" customWidth="1"/>
    <col min="11271" max="11271" width="13.7109375" style="114" bestFit="1" customWidth="1"/>
    <col min="11272" max="11272" width="12" style="114" bestFit="1" customWidth="1"/>
    <col min="11273" max="11273" width="16" style="114" bestFit="1" customWidth="1"/>
    <col min="11274" max="11274" width="8.85546875" style="114"/>
    <col min="11275" max="11275" width="16" style="114" bestFit="1" customWidth="1"/>
    <col min="11276" max="11277" width="8.85546875" style="114"/>
    <col min="11278" max="11278" width="14.7109375" style="114" bestFit="1" customWidth="1"/>
    <col min="11279" max="11524" width="8.85546875" style="114"/>
    <col min="11525" max="11525" width="17.85546875" style="114" bestFit="1" customWidth="1"/>
    <col min="11526" max="11526" width="15.42578125" style="114" bestFit="1" customWidth="1"/>
    <col min="11527" max="11527" width="13.7109375" style="114" bestFit="1" customWidth="1"/>
    <col min="11528" max="11528" width="12" style="114" bestFit="1" customWidth="1"/>
    <col min="11529" max="11529" width="16" style="114" bestFit="1" customWidth="1"/>
    <col min="11530" max="11530" width="8.85546875" style="114"/>
    <col min="11531" max="11531" width="16" style="114" bestFit="1" customWidth="1"/>
    <col min="11532" max="11533" width="8.85546875" style="114"/>
    <col min="11534" max="11534" width="14.7109375" style="114" bestFit="1" customWidth="1"/>
    <col min="11535" max="11780" width="8.85546875" style="114"/>
    <col min="11781" max="11781" width="17.85546875" style="114" bestFit="1" customWidth="1"/>
    <col min="11782" max="11782" width="15.42578125" style="114" bestFit="1" customWidth="1"/>
    <col min="11783" max="11783" width="13.7109375" style="114" bestFit="1" customWidth="1"/>
    <col min="11784" max="11784" width="12" style="114" bestFit="1" customWidth="1"/>
    <col min="11785" max="11785" width="16" style="114" bestFit="1" customWidth="1"/>
    <col min="11786" max="11786" width="8.85546875" style="114"/>
    <col min="11787" max="11787" width="16" style="114" bestFit="1" customWidth="1"/>
    <col min="11788" max="11789" width="8.85546875" style="114"/>
    <col min="11790" max="11790" width="14.7109375" style="114" bestFit="1" customWidth="1"/>
    <col min="11791" max="12036" width="8.85546875" style="114"/>
    <col min="12037" max="12037" width="17.85546875" style="114" bestFit="1" customWidth="1"/>
    <col min="12038" max="12038" width="15.42578125" style="114" bestFit="1" customWidth="1"/>
    <col min="12039" max="12039" width="13.7109375" style="114" bestFit="1" customWidth="1"/>
    <col min="12040" max="12040" width="12" style="114" bestFit="1" customWidth="1"/>
    <col min="12041" max="12041" width="16" style="114" bestFit="1" customWidth="1"/>
    <col min="12042" max="12042" width="8.85546875" style="114"/>
    <col min="12043" max="12043" width="16" style="114" bestFit="1" customWidth="1"/>
    <col min="12044" max="12045" width="8.85546875" style="114"/>
    <col min="12046" max="12046" width="14.7109375" style="114" bestFit="1" customWidth="1"/>
    <col min="12047" max="12292" width="8.85546875" style="114"/>
    <col min="12293" max="12293" width="17.85546875" style="114" bestFit="1" customWidth="1"/>
    <col min="12294" max="12294" width="15.42578125" style="114" bestFit="1" customWidth="1"/>
    <col min="12295" max="12295" width="13.7109375" style="114" bestFit="1" customWidth="1"/>
    <col min="12296" max="12296" width="12" style="114" bestFit="1" customWidth="1"/>
    <col min="12297" max="12297" width="16" style="114" bestFit="1" customWidth="1"/>
    <col min="12298" max="12298" width="8.85546875" style="114"/>
    <col min="12299" max="12299" width="16" style="114" bestFit="1" customWidth="1"/>
    <col min="12300" max="12301" width="8.85546875" style="114"/>
    <col min="12302" max="12302" width="14.7109375" style="114" bestFit="1" customWidth="1"/>
    <col min="12303" max="12548" width="8.85546875" style="114"/>
    <col min="12549" max="12549" width="17.85546875" style="114" bestFit="1" customWidth="1"/>
    <col min="12550" max="12550" width="15.42578125" style="114" bestFit="1" customWidth="1"/>
    <col min="12551" max="12551" width="13.7109375" style="114" bestFit="1" customWidth="1"/>
    <col min="12552" max="12552" width="12" style="114" bestFit="1" customWidth="1"/>
    <col min="12553" max="12553" width="16" style="114" bestFit="1" customWidth="1"/>
    <col min="12554" max="12554" width="8.85546875" style="114"/>
    <col min="12555" max="12555" width="16" style="114" bestFit="1" customWidth="1"/>
    <col min="12556" max="12557" width="8.85546875" style="114"/>
    <col min="12558" max="12558" width="14.7109375" style="114" bestFit="1" customWidth="1"/>
    <col min="12559" max="12804" width="8.85546875" style="114"/>
    <col min="12805" max="12805" width="17.85546875" style="114" bestFit="1" customWidth="1"/>
    <col min="12806" max="12806" width="15.42578125" style="114" bestFit="1" customWidth="1"/>
    <col min="12807" max="12807" width="13.7109375" style="114" bestFit="1" customWidth="1"/>
    <col min="12808" max="12808" width="12" style="114" bestFit="1" customWidth="1"/>
    <col min="12809" max="12809" width="16" style="114" bestFit="1" customWidth="1"/>
    <col min="12810" max="12810" width="8.85546875" style="114"/>
    <col min="12811" max="12811" width="16" style="114" bestFit="1" customWidth="1"/>
    <col min="12812" max="12813" width="8.85546875" style="114"/>
    <col min="12814" max="12814" width="14.7109375" style="114" bestFit="1" customWidth="1"/>
    <col min="12815" max="13060" width="8.85546875" style="114"/>
    <col min="13061" max="13061" width="17.85546875" style="114" bestFit="1" customWidth="1"/>
    <col min="13062" max="13062" width="15.42578125" style="114" bestFit="1" customWidth="1"/>
    <col min="13063" max="13063" width="13.7109375" style="114" bestFit="1" customWidth="1"/>
    <col min="13064" max="13064" width="12" style="114" bestFit="1" customWidth="1"/>
    <col min="13065" max="13065" width="16" style="114" bestFit="1" customWidth="1"/>
    <col min="13066" max="13066" width="8.85546875" style="114"/>
    <col min="13067" max="13067" width="16" style="114" bestFit="1" customWidth="1"/>
    <col min="13068" max="13069" width="8.85546875" style="114"/>
    <col min="13070" max="13070" width="14.7109375" style="114" bestFit="1" customWidth="1"/>
    <col min="13071" max="13316" width="8.85546875" style="114"/>
    <col min="13317" max="13317" width="17.85546875" style="114" bestFit="1" customWidth="1"/>
    <col min="13318" max="13318" width="15.42578125" style="114" bestFit="1" customWidth="1"/>
    <col min="13319" max="13319" width="13.7109375" style="114" bestFit="1" customWidth="1"/>
    <col min="13320" max="13320" width="12" style="114" bestFit="1" customWidth="1"/>
    <col min="13321" max="13321" width="16" style="114" bestFit="1" customWidth="1"/>
    <col min="13322" max="13322" width="8.85546875" style="114"/>
    <col min="13323" max="13323" width="16" style="114" bestFit="1" customWidth="1"/>
    <col min="13324" max="13325" width="8.85546875" style="114"/>
    <col min="13326" max="13326" width="14.7109375" style="114" bestFit="1" customWidth="1"/>
    <col min="13327" max="13572" width="8.85546875" style="114"/>
    <col min="13573" max="13573" width="17.85546875" style="114" bestFit="1" customWidth="1"/>
    <col min="13574" max="13574" width="15.42578125" style="114" bestFit="1" customWidth="1"/>
    <col min="13575" max="13575" width="13.7109375" style="114" bestFit="1" customWidth="1"/>
    <col min="13576" max="13576" width="12" style="114" bestFit="1" customWidth="1"/>
    <col min="13577" max="13577" width="16" style="114" bestFit="1" customWidth="1"/>
    <col min="13578" max="13578" width="8.85546875" style="114"/>
    <col min="13579" max="13579" width="16" style="114" bestFit="1" customWidth="1"/>
    <col min="13580" max="13581" width="8.85546875" style="114"/>
    <col min="13582" max="13582" width="14.7109375" style="114" bestFit="1" customWidth="1"/>
    <col min="13583" max="13828" width="8.85546875" style="114"/>
    <col min="13829" max="13829" width="17.85546875" style="114" bestFit="1" customWidth="1"/>
    <col min="13830" max="13830" width="15.42578125" style="114" bestFit="1" customWidth="1"/>
    <col min="13831" max="13831" width="13.7109375" style="114" bestFit="1" customWidth="1"/>
    <col min="13832" max="13832" width="12" style="114" bestFit="1" customWidth="1"/>
    <col min="13833" max="13833" width="16" style="114" bestFit="1" customWidth="1"/>
    <col min="13834" max="13834" width="8.85546875" style="114"/>
    <col min="13835" max="13835" width="16" style="114" bestFit="1" customWidth="1"/>
    <col min="13836" max="13837" width="8.85546875" style="114"/>
    <col min="13838" max="13838" width="14.7109375" style="114" bestFit="1" customWidth="1"/>
    <col min="13839" max="14084" width="8.85546875" style="114"/>
    <col min="14085" max="14085" width="17.85546875" style="114" bestFit="1" customWidth="1"/>
    <col min="14086" max="14086" width="15.42578125" style="114" bestFit="1" customWidth="1"/>
    <col min="14087" max="14087" width="13.7109375" style="114" bestFit="1" customWidth="1"/>
    <col min="14088" max="14088" width="12" style="114" bestFit="1" customWidth="1"/>
    <col min="14089" max="14089" width="16" style="114" bestFit="1" customWidth="1"/>
    <col min="14090" max="14090" width="8.85546875" style="114"/>
    <col min="14091" max="14091" width="16" style="114" bestFit="1" customWidth="1"/>
    <col min="14092" max="14093" width="8.85546875" style="114"/>
    <col min="14094" max="14094" width="14.7109375" style="114" bestFit="1" customWidth="1"/>
    <col min="14095" max="14340" width="8.85546875" style="114"/>
    <col min="14341" max="14341" width="17.85546875" style="114" bestFit="1" customWidth="1"/>
    <col min="14342" max="14342" width="15.42578125" style="114" bestFit="1" customWidth="1"/>
    <col min="14343" max="14343" width="13.7109375" style="114" bestFit="1" customWidth="1"/>
    <col min="14344" max="14344" width="12" style="114" bestFit="1" customWidth="1"/>
    <col min="14345" max="14345" width="16" style="114" bestFit="1" customWidth="1"/>
    <col min="14346" max="14346" width="8.85546875" style="114"/>
    <col min="14347" max="14347" width="16" style="114" bestFit="1" customWidth="1"/>
    <col min="14348" max="14349" width="8.85546875" style="114"/>
    <col min="14350" max="14350" width="14.7109375" style="114" bestFit="1" customWidth="1"/>
    <col min="14351" max="14596" width="8.85546875" style="114"/>
    <col min="14597" max="14597" width="17.85546875" style="114" bestFit="1" customWidth="1"/>
    <col min="14598" max="14598" width="15.42578125" style="114" bestFit="1" customWidth="1"/>
    <col min="14599" max="14599" width="13.7109375" style="114" bestFit="1" customWidth="1"/>
    <col min="14600" max="14600" width="12" style="114" bestFit="1" customWidth="1"/>
    <col min="14601" max="14601" width="16" style="114" bestFit="1" customWidth="1"/>
    <col min="14602" max="14602" width="8.85546875" style="114"/>
    <col min="14603" max="14603" width="16" style="114" bestFit="1" customWidth="1"/>
    <col min="14604" max="14605" width="8.85546875" style="114"/>
    <col min="14606" max="14606" width="14.7109375" style="114" bestFit="1" customWidth="1"/>
    <col min="14607" max="14852" width="8.85546875" style="114"/>
    <col min="14853" max="14853" width="17.85546875" style="114" bestFit="1" customWidth="1"/>
    <col min="14854" max="14854" width="15.42578125" style="114" bestFit="1" customWidth="1"/>
    <col min="14855" max="14855" width="13.7109375" style="114" bestFit="1" customWidth="1"/>
    <col min="14856" max="14856" width="12" style="114" bestFit="1" customWidth="1"/>
    <col min="14857" max="14857" width="16" style="114" bestFit="1" customWidth="1"/>
    <col min="14858" max="14858" width="8.85546875" style="114"/>
    <col min="14859" max="14859" width="16" style="114" bestFit="1" customWidth="1"/>
    <col min="14860" max="14861" width="8.85546875" style="114"/>
    <col min="14862" max="14862" width="14.7109375" style="114" bestFit="1" customWidth="1"/>
    <col min="14863" max="15108" width="8.85546875" style="114"/>
    <col min="15109" max="15109" width="17.85546875" style="114" bestFit="1" customWidth="1"/>
    <col min="15110" max="15110" width="15.42578125" style="114" bestFit="1" customWidth="1"/>
    <col min="15111" max="15111" width="13.7109375" style="114" bestFit="1" customWidth="1"/>
    <col min="15112" max="15112" width="12" style="114" bestFit="1" customWidth="1"/>
    <col min="15113" max="15113" width="16" style="114" bestFit="1" customWidth="1"/>
    <col min="15114" max="15114" width="8.85546875" style="114"/>
    <col min="15115" max="15115" width="16" style="114" bestFit="1" customWidth="1"/>
    <col min="15116" max="15117" width="8.85546875" style="114"/>
    <col min="15118" max="15118" width="14.7109375" style="114" bestFit="1" customWidth="1"/>
    <col min="15119" max="15364" width="8.85546875" style="114"/>
    <col min="15365" max="15365" width="17.85546875" style="114" bestFit="1" customWidth="1"/>
    <col min="15366" max="15366" width="15.42578125" style="114" bestFit="1" customWidth="1"/>
    <col min="15367" max="15367" width="13.7109375" style="114" bestFit="1" customWidth="1"/>
    <col min="15368" max="15368" width="12" style="114" bestFit="1" customWidth="1"/>
    <col min="15369" max="15369" width="16" style="114" bestFit="1" customWidth="1"/>
    <col min="15370" max="15370" width="8.85546875" style="114"/>
    <col min="15371" max="15371" width="16" style="114" bestFit="1" customWidth="1"/>
    <col min="15372" max="15373" width="8.85546875" style="114"/>
    <col min="15374" max="15374" width="14.7109375" style="114" bestFit="1" customWidth="1"/>
    <col min="15375" max="15620" width="8.85546875" style="114"/>
    <col min="15621" max="15621" width="17.85546875" style="114" bestFit="1" customWidth="1"/>
    <col min="15622" max="15622" width="15.42578125" style="114" bestFit="1" customWidth="1"/>
    <col min="15623" max="15623" width="13.7109375" style="114" bestFit="1" customWidth="1"/>
    <col min="15624" max="15624" width="12" style="114" bestFit="1" customWidth="1"/>
    <col min="15625" max="15625" width="16" style="114" bestFit="1" customWidth="1"/>
    <col min="15626" max="15626" width="8.85546875" style="114"/>
    <col min="15627" max="15627" width="16" style="114" bestFit="1" customWidth="1"/>
    <col min="15628" max="15629" width="8.85546875" style="114"/>
    <col min="15630" max="15630" width="14.7109375" style="114" bestFit="1" customWidth="1"/>
    <col min="15631" max="15876" width="8.85546875" style="114"/>
    <col min="15877" max="15877" width="17.85546875" style="114" bestFit="1" customWidth="1"/>
    <col min="15878" max="15878" width="15.42578125" style="114" bestFit="1" customWidth="1"/>
    <col min="15879" max="15879" width="13.7109375" style="114" bestFit="1" customWidth="1"/>
    <col min="15880" max="15880" width="12" style="114" bestFit="1" customWidth="1"/>
    <col min="15881" max="15881" width="16" style="114" bestFit="1" customWidth="1"/>
    <col min="15882" max="15882" width="8.85546875" style="114"/>
    <col min="15883" max="15883" width="16" style="114" bestFit="1" customWidth="1"/>
    <col min="15884" max="15885" width="8.85546875" style="114"/>
    <col min="15886" max="15886" width="14.7109375" style="114" bestFit="1" customWidth="1"/>
    <col min="15887" max="16132" width="8.85546875" style="114"/>
    <col min="16133" max="16133" width="17.85546875" style="114" bestFit="1" customWidth="1"/>
    <col min="16134" max="16134" width="15.42578125" style="114" bestFit="1" customWidth="1"/>
    <col min="16135" max="16135" width="13.7109375" style="114" bestFit="1" customWidth="1"/>
    <col min="16136" max="16136" width="12" style="114" bestFit="1" customWidth="1"/>
    <col min="16137" max="16137" width="16" style="114" bestFit="1" customWidth="1"/>
    <col min="16138" max="16138" width="8.85546875" style="114"/>
    <col min="16139" max="16139" width="16" style="114" bestFit="1" customWidth="1"/>
    <col min="16140" max="16141" width="8.85546875" style="114"/>
    <col min="16142" max="16142" width="14.7109375" style="114" bestFit="1" customWidth="1"/>
    <col min="16143" max="16384" width="8.85546875" style="114"/>
  </cols>
  <sheetData>
    <row r="1" spans="5:14" x14ac:dyDescent="0.2">
      <c r="E1" s="126" t="s">
        <v>277</v>
      </c>
      <c r="F1" s="126" t="s">
        <v>278</v>
      </c>
      <c r="G1" s="126" t="s">
        <v>118</v>
      </c>
      <c r="H1" s="126" t="s">
        <v>119</v>
      </c>
      <c r="I1" s="126" t="s">
        <v>279</v>
      </c>
      <c r="J1" s="126" t="s">
        <v>49</v>
      </c>
      <c r="K1" s="126" t="s">
        <v>280</v>
      </c>
      <c r="M1" s="125" t="s">
        <v>49</v>
      </c>
      <c r="N1" s="124" t="s">
        <v>280</v>
      </c>
    </row>
    <row r="2" spans="5:14" x14ac:dyDescent="0.2">
      <c r="E2" s="123" t="s">
        <v>281</v>
      </c>
      <c r="F2" s="114" t="s">
        <v>282</v>
      </c>
      <c r="G2" s="114">
        <v>8249.327669812732</v>
      </c>
      <c r="H2" s="114">
        <v>594.8782420079541</v>
      </c>
      <c r="I2" s="114">
        <v>7654.4494278047778</v>
      </c>
      <c r="J2" s="114" t="s">
        <v>283</v>
      </c>
      <c r="M2" s="122" t="s">
        <v>283</v>
      </c>
      <c r="N2" s="121" t="s">
        <v>284</v>
      </c>
    </row>
    <row r="3" spans="5:14" x14ac:dyDescent="0.2">
      <c r="E3" s="116" t="s">
        <v>285</v>
      </c>
      <c r="F3" s="114" t="s">
        <v>270</v>
      </c>
      <c r="G3" s="114">
        <v>6557.8729832219478</v>
      </c>
      <c r="H3" s="114">
        <v>83.339385972085097</v>
      </c>
      <c r="I3" s="114">
        <v>6474.5335972498624</v>
      </c>
      <c r="J3" s="114" t="s">
        <v>286</v>
      </c>
      <c r="M3" s="120" t="s">
        <v>287</v>
      </c>
      <c r="N3" s="119" t="s">
        <v>288</v>
      </c>
    </row>
    <row r="4" spans="5:14" x14ac:dyDescent="0.2">
      <c r="E4" s="116" t="s">
        <v>289</v>
      </c>
      <c r="F4" s="114" t="s">
        <v>274</v>
      </c>
      <c r="G4" s="114">
        <v>6180.0357471981151</v>
      </c>
      <c r="H4" s="114">
        <v>551.2667803915291</v>
      </c>
      <c r="I4" s="114">
        <v>5628.7689668065859</v>
      </c>
      <c r="J4" s="114" t="s">
        <v>290</v>
      </c>
      <c r="M4" s="120" t="s">
        <v>290</v>
      </c>
      <c r="N4" s="119" t="s">
        <v>291</v>
      </c>
    </row>
    <row r="5" spans="5:14" x14ac:dyDescent="0.2">
      <c r="E5" s="116" t="s">
        <v>292</v>
      </c>
      <c r="F5" s="114" t="s">
        <v>270</v>
      </c>
      <c r="G5" s="114">
        <v>9915.4543112250485</v>
      </c>
      <c r="H5" s="114">
        <v>336.85767843720402</v>
      </c>
      <c r="I5" s="114">
        <v>9578.596632787845</v>
      </c>
      <c r="J5" s="114" t="s">
        <v>286</v>
      </c>
      <c r="M5" s="120" t="s">
        <v>286</v>
      </c>
      <c r="N5" s="119" t="s">
        <v>293</v>
      </c>
    </row>
    <row r="6" spans="5:14" x14ac:dyDescent="0.2">
      <c r="E6" s="116" t="s">
        <v>294</v>
      </c>
      <c r="F6" s="114" t="s">
        <v>270</v>
      </c>
      <c r="G6" s="114">
        <v>4047.6691780881433</v>
      </c>
      <c r="H6" s="114">
        <v>481.00830089228009</v>
      </c>
      <c r="I6" s="114">
        <v>3566.6608771958631</v>
      </c>
      <c r="J6" s="114" t="s">
        <v>295</v>
      </c>
      <c r="M6" s="120" t="s">
        <v>296</v>
      </c>
      <c r="N6" s="119" t="s">
        <v>284</v>
      </c>
    </row>
    <row r="7" spans="5:14" x14ac:dyDescent="0.2">
      <c r="E7" s="116" t="s">
        <v>297</v>
      </c>
      <c r="F7" s="114" t="s">
        <v>282</v>
      </c>
      <c r="G7" s="114">
        <v>4797.0875045760986</v>
      </c>
      <c r="H7" s="114">
        <v>962.35509434426979</v>
      </c>
      <c r="I7" s="114">
        <v>3834.7324102318289</v>
      </c>
      <c r="J7" s="114" t="s">
        <v>296</v>
      </c>
      <c r="M7" s="118" t="s">
        <v>295</v>
      </c>
      <c r="N7" s="117" t="s">
        <v>288</v>
      </c>
    </row>
    <row r="8" spans="5:14" x14ac:dyDescent="0.2">
      <c r="E8" s="116" t="s">
        <v>298</v>
      </c>
      <c r="F8" s="114" t="s">
        <v>274</v>
      </c>
      <c r="G8" s="114">
        <v>6537.8001010167409</v>
      </c>
      <c r="H8" s="114">
        <v>931.96972478373198</v>
      </c>
      <c r="I8" s="114">
        <v>5605.8303762330088</v>
      </c>
      <c r="J8" s="114" t="s">
        <v>283</v>
      </c>
    </row>
    <row r="9" spans="5:14" x14ac:dyDescent="0.2">
      <c r="E9" s="116" t="s">
        <v>299</v>
      </c>
      <c r="F9" s="114" t="s">
        <v>270</v>
      </c>
      <c r="G9" s="114">
        <v>3151.4227753703763</v>
      </c>
      <c r="H9" s="114">
        <v>848.2135170177911</v>
      </c>
      <c r="I9" s="114">
        <v>2303.209258352585</v>
      </c>
      <c r="J9" s="114" t="s">
        <v>287</v>
      </c>
    </row>
    <row r="10" spans="5:14" x14ac:dyDescent="0.2">
      <c r="E10" s="116" t="s">
        <v>300</v>
      </c>
      <c r="F10" s="114" t="s">
        <v>274</v>
      </c>
      <c r="G10" s="114">
        <v>9504.7818270497992</v>
      </c>
      <c r="H10" s="114">
        <v>827.56322444340958</v>
      </c>
      <c r="I10" s="114">
        <v>8677.21860260639</v>
      </c>
      <c r="J10" s="114" t="s">
        <v>290</v>
      </c>
    </row>
    <row r="11" spans="5:14" x14ac:dyDescent="0.2">
      <c r="E11" s="116" t="s">
        <v>301</v>
      </c>
      <c r="F11" s="114" t="s">
        <v>282</v>
      </c>
      <c r="G11" s="114">
        <v>9378.1404699584928</v>
      </c>
      <c r="H11" s="114">
        <v>566.79765360330634</v>
      </c>
      <c r="I11" s="114">
        <v>8811.3428163551871</v>
      </c>
      <c r="J11" s="114" t="s">
        <v>286</v>
      </c>
    </row>
    <row r="12" spans="5:14" x14ac:dyDescent="0.2">
      <c r="E12" s="116" t="s">
        <v>302</v>
      </c>
      <c r="F12" s="114" t="s">
        <v>270</v>
      </c>
      <c r="G12" s="114">
        <v>6772.1330424373045</v>
      </c>
      <c r="H12" s="114">
        <v>436.87998361183077</v>
      </c>
      <c r="I12" s="114">
        <v>6335.253058825474</v>
      </c>
      <c r="J12" s="114" t="s">
        <v>295</v>
      </c>
    </row>
    <row r="13" spans="5:14" x14ac:dyDescent="0.2">
      <c r="E13" s="116" t="s">
        <v>303</v>
      </c>
      <c r="F13" s="114" t="s">
        <v>282</v>
      </c>
      <c r="G13" s="115">
        <v>48922666.986699536</v>
      </c>
      <c r="H13" s="114">
        <v>41584266.938694604</v>
      </c>
      <c r="I13" s="114">
        <v>7338400.0480049327</v>
      </c>
      <c r="J13" s="114" t="s">
        <v>296</v>
      </c>
    </row>
    <row r="15" spans="5:14" x14ac:dyDescent="0.2">
      <c r="M15" s="114" t="b">
        <v>1</v>
      </c>
    </row>
    <row r="20" spans="8:15" ht="18" x14ac:dyDescent="0.25">
      <c r="M20" s="58" t="s">
        <v>304</v>
      </c>
      <c r="N20" s="52"/>
      <c r="O20" s="52"/>
    </row>
    <row r="21" spans="8:15" x14ac:dyDescent="0.2">
      <c r="M21" s="52"/>
      <c r="N21" s="52"/>
      <c r="O21" s="52"/>
    </row>
    <row r="22" spans="8:15" x14ac:dyDescent="0.2">
      <c r="M22" s="52"/>
      <c r="N22" s="52"/>
      <c r="O22" s="52"/>
    </row>
    <row r="23" spans="8:15" ht="18" x14ac:dyDescent="0.25">
      <c r="M23" s="58" t="s">
        <v>276</v>
      </c>
      <c r="N23" s="52"/>
      <c r="O23" s="52"/>
    </row>
    <row r="26" spans="8:15" x14ac:dyDescent="0.2">
      <c r="H26" s="114" t="s">
        <v>144</v>
      </c>
    </row>
    <row r="27" spans="8:15" ht="15" x14ac:dyDescent="0.25">
      <c r="M27" s="53" t="s">
        <v>143</v>
      </c>
    </row>
  </sheetData>
  <hyperlinks>
    <hyperlink ref="M27" location="'Learning Outcomes'!A1" display="Go to Learning Outcomes" xr:uid="{00000000-0004-0000-1500-000000000000}"/>
  </hyperlinks>
  <pageMargins left="0.75" right="0.75" top="1" bottom="1" header="0.5" footer="0.5"/>
  <pageSetup orientation="portrait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3" tint="0.79998168889431442"/>
  </sheetPr>
  <dimension ref="E1:N13"/>
  <sheetViews>
    <sheetView workbookViewId="0">
      <selection activeCell="A28" sqref="A28"/>
    </sheetView>
  </sheetViews>
  <sheetFormatPr defaultRowHeight="12.75" x14ac:dyDescent="0.2"/>
  <cols>
    <col min="1" max="4" width="8.85546875" style="114"/>
    <col min="5" max="5" width="17.85546875" style="114" bestFit="1" customWidth="1"/>
    <col min="6" max="6" width="15.42578125" style="114" bestFit="1" customWidth="1"/>
    <col min="7" max="7" width="13.7109375" style="114" bestFit="1" customWidth="1"/>
    <col min="8" max="8" width="12" style="114" bestFit="1" customWidth="1"/>
    <col min="9" max="9" width="16" style="114" bestFit="1" customWidth="1"/>
    <col min="10" max="10" width="8.85546875" style="114"/>
    <col min="11" max="11" width="16" style="114" bestFit="1" customWidth="1"/>
    <col min="12" max="13" width="8.85546875" style="114"/>
    <col min="14" max="14" width="14.7109375" style="114" bestFit="1" customWidth="1"/>
    <col min="15" max="260" width="8.85546875" style="114"/>
    <col min="261" max="261" width="17.85546875" style="114" bestFit="1" customWidth="1"/>
    <col min="262" max="262" width="15.42578125" style="114" bestFit="1" customWidth="1"/>
    <col min="263" max="263" width="13.7109375" style="114" bestFit="1" customWidth="1"/>
    <col min="264" max="264" width="12" style="114" bestFit="1" customWidth="1"/>
    <col min="265" max="265" width="16" style="114" bestFit="1" customWidth="1"/>
    <col min="266" max="266" width="8.85546875" style="114"/>
    <col min="267" max="267" width="16" style="114" bestFit="1" customWidth="1"/>
    <col min="268" max="269" width="8.85546875" style="114"/>
    <col min="270" max="270" width="14.7109375" style="114" bestFit="1" customWidth="1"/>
    <col min="271" max="516" width="8.85546875" style="114"/>
    <col min="517" max="517" width="17.85546875" style="114" bestFit="1" customWidth="1"/>
    <col min="518" max="518" width="15.42578125" style="114" bestFit="1" customWidth="1"/>
    <col min="519" max="519" width="13.7109375" style="114" bestFit="1" customWidth="1"/>
    <col min="520" max="520" width="12" style="114" bestFit="1" customWidth="1"/>
    <col min="521" max="521" width="16" style="114" bestFit="1" customWidth="1"/>
    <col min="522" max="522" width="8.85546875" style="114"/>
    <col min="523" max="523" width="16" style="114" bestFit="1" customWidth="1"/>
    <col min="524" max="525" width="8.85546875" style="114"/>
    <col min="526" max="526" width="14.7109375" style="114" bestFit="1" customWidth="1"/>
    <col min="527" max="772" width="8.85546875" style="114"/>
    <col min="773" max="773" width="17.85546875" style="114" bestFit="1" customWidth="1"/>
    <col min="774" max="774" width="15.42578125" style="114" bestFit="1" customWidth="1"/>
    <col min="775" max="775" width="13.7109375" style="114" bestFit="1" customWidth="1"/>
    <col min="776" max="776" width="12" style="114" bestFit="1" customWidth="1"/>
    <col min="777" max="777" width="16" style="114" bestFit="1" customWidth="1"/>
    <col min="778" max="778" width="8.85546875" style="114"/>
    <col min="779" max="779" width="16" style="114" bestFit="1" customWidth="1"/>
    <col min="780" max="781" width="8.85546875" style="114"/>
    <col min="782" max="782" width="14.7109375" style="114" bestFit="1" customWidth="1"/>
    <col min="783" max="1028" width="8.85546875" style="114"/>
    <col min="1029" max="1029" width="17.85546875" style="114" bestFit="1" customWidth="1"/>
    <col min="1030" max="1030" width="15.42578125" style="114" bestFit="1" customWidth="1"/>
    <col min="1031" max="1031" width="13.7109375" style="114" bestFit="1" customWidth="1"/>
    <col min="1032" max="1032" width="12" style="114" bestFit="1" customWidth="1"/>
    <col min="1033" max="1033" width="16" style="114" bestFit="1" customWidth="1"/>
    <col min="1034" max="1034" width="8.85546875" style="114"/>
    <col min="1035" max="1035" width="16" style="114" bestFit="1" customWidth="1"/>
    <col min="1036" max="1037" width="8.85546875" style="114"/>
    <col min="1038" max="1038" width="14.7109375" style="114" bestFit="1" customWidth="1"/>
    <col min="1039" max="1284" width="8.85546875" style="114"/>
    <col min="1285" max="1285" width="17.85546875" style="114" bestFit="1" customWidth="1"/>
    <col min="1286" max="1286" width="15.42578125" style="114" bestFit="1" customWidth="1"/>
    <col min="1287" max="1287" width="13.7109375" style="114" bestFit="1" customWidth="1"/>
    <col min="1288" max="1288" width="12" style="114" bestFit="1" customWidth="1"/>
    <col min="1289" max="1289" width="16" style="114" bestFit="1" customWidth="1"/>
    <col min="1290" max="1290" width="8.85546875" style="114"/>
    <col min="1291" max="1291" width="16" style="114" bestFit="1" customWidth="1"/>
    <col min="1292" max="1293" width="8.85546875" style="114"/>
    <col min="1294" max="1294" width="14.7109375" style="114" bestFit="1" customWidth="1"/>
    <col min="1295" max="1540" width="8.85546875" style="114"/>
    <col min="1541" max="1541" width="17.85546875" style="114" bestFit="1" customWidth="1"/>
    <col min="1542" max="1542" width="15.42578125" style="114" bestFit="1" customWidth="1"/>
    <col min="1543" max="1543" width="13.7109375" style="114" bestFit="1" customWidth="1"/>
    <col min="1544" max="1544" width="12" style="114" bestFit="1" customWidth="1"/>
    <col min="1545" max="1545" width="16" style="114" bestFit="1" customWidth="1"/>
    <col min="1546" max="1546" width="8.85546875" style="114"/>
    <col min="1547" max="1547" width="16" style="114" bestFit="1" customWidth="1"/>
    <col min="1548" max="1549" width="8.85546875" style="114"/>
    <col min="1550" max="1550" width="14.7109375" style="114" bestFit="1" customWidth="1"/>
    <col min="1551" max="1796" width="8.85546875" style="114"/>
    <col min="1797" max="1797" width="17.85546875" style="114" bestFit="1" customWidth="1"/>
    <col min="1798" max="1798" width="15.42578125" style="114" bestFit="1" customWidth="1"/>
    <col min="1799" max="1799" width="13.7109375" style="114" bestFit="1" customWidth="1"/>
    <col min="1800" max="1800" width="12" style="114" bestFit="1" customWidth="1"/>
    <col min="1801" max="1801" width="16" style="114" bestFit="1" customWidth="1"/>
    <col min="1802" max="1802" width="8.85546875" style="114"/>
    <col min="1803" max="1803" width="16" style="114" bestFit="1" customWidth="1"/>
    <col min="1804" max="1805" width="8.85546875" style="114"/>
    <col min="1806" max="1806" width="14.7109375" style="114" bestFit="1" customWidth="1"/>
    <col min="1807" max="2052" width="8.85546875" style="114"/>
    <col min="2053" max="2053" width="17.85546875" style="114" bestFit="1" customWidth="1"/>
    <col min="2054" max="2054" width="15.42578125" style="114" bestFit="1" customWidth="1"/>
    <col min="2055" max="2055" width="13.7109375" style="114" bestFit="1" customWidth="1"/>
    <col min="2056" max="2056" width="12" style="114" bestFit="1" customWidth="1"/>
    <col min="2057" max="2057" width="16" style="114" bestFit="1" customWidth="1"/>
    <col min="2058" max="2058" width="8.85546875" style="114"/>
    <col min="2059" max="2059" width="16" style="114" bestFit="1" customWidth="1"/>
    <col min="2060" max="2061" width="8.85546875" style="114"/>
    <col min="2062" max="2062" width="14.7109375" style="114" bestFit="1" customWidth="1"/>
    <col min="2063" max="2308" width="8.85546875" style="114"/>
    <col min="2309" max="2309" width="17.85546875" style="114" bestFit="1" customWidth="1"/>
    <col min="2310" max="2310" width="15.42578125" style="114" bestFit="1" customWidth="1"/>
    <col min="2311" max="2311" width="13.7109375" style="114" bestFit="1" customWidth="1"/>
    <col min="2312" max="2312" width="12" style="114" bestFit="1" customWidth="1"/>
    <col min="2313" max="2313" width="16" style="114" bestFit="1" customWidth="1"/>
    <col min="2314" max="2314" width="8.85546875" style="114"/>
    <col min="2315" max="2315" width="16" style="114" bestFit="1" customWidth="1"/>
    <col min="2316" max="2317" width="8.85546875" style="114"/>
    <col min="2318" max="2318" width="14.7109375" style="114" bestFit="1" customWidth="1"/>
    <col min="2319" max="2564" width="8.85546875" style="114"/>
    <col min="2565" max="2565" width="17.85546875" style="114" bestFit="1" customWidth="1"/>
    <col min="2566" max="2566" width="15.42578125" style="114" bestFit="1" customWidth="1"/>
    <col min="2567" max="2567" width="13.7109375" style="114" bestFit="1" customWidth="1"/>
    <col min="2568" max="2568" width="12" style="114" bestFit="1" customWidth="1"/>
    <col min="2569" max="2569" width="16" style="114" bestFit="1" customWidth="1"/>
    <col min="2570" max="2570" width="8.85546875" style="114"/>
    <col min="2571" max="2571" width="16" style="114" bestFit="1" customWidth="1"/>
    <col min="2572" max="2573" width="8.85546875" style="114"/>
    <col min="2574" max="2574" width="14.7109375" style="114" bestFit="1" customWidth="1"/>
    <col min="2575" max="2820" width="8.85546875" style="114"/>
    <col min="2821" max="2821" width="17.85546875" style="114" bestFit="1" customWidth="1"/>
    <col min="2822" max="2822" width="15.42578125" style="114" bestFit="1" customWidth="1"/>
    <col min="2823" max="2823" width="13.7109375" style="114" bestFit="1" customWidth="1"/>
    <col min="2824" max="2824" width="12" style="114" bestFit="1" customWidth="1"/>
    <col min="2825" max="2825" width="16" style="114" bestFit="1" customWidth="1"/>
    <col min="2826" max="2826" width="8.85546875" style="114"/>
    <col min="2827" max="2827" width="16" style="114" bestFit="1" customWidth="1"/>
    <col min="2828" max="2829" width="8.85546875" style="114"/>
    <col min="2830" max="2830" width="14.7109375" style="114" bestFit="1" customWidth="1"/>
    <col min="2831" max="3076" width="8.85546875" style="114"/>
    <col min="3077" max="3077" width="17.85546875" style="114" bestFit="1" customWidth="1"/>
    <col min="3078" max="3078" width="15.42578125" style="114" bestFit="1" customWidth="1"/>
    <col min="3079" max="3079" width="13.7109375" style="114" bestFit="1" customWidth="1"/>
    <col min="3080" max="3080" width="12" style="114" bestFit="1" customWidth="1"/>
    <col min="3081" max="3081" width="16" style="114" bestFit="1" customWidth="1"/>
    <col min="3082" max="3082" width="8.85546875" style="114"/>
    <col min="3083" max="3083" width="16" style="114" bestFit="1" customWidth="1"/>
    <col min="3084" max="3085" width="8.85546875" style="114"/>
    <col min="3086" max="3086" width="14.7109375" style="114" bestFit="1" customWidth="1"/>
    <col min="3087" max="3332" width="8.85546875" style="114"/>
    <col min="3333" max="3333" width="17.85546875" style="114" bestFit="1" customWidth="1"/>
    <col min="3334" max="3334" width="15.42578125" style="114" bestFit="1" customWidth="1"/>
    <col min="3335" max="3335" width="13.7109375" style="114" bestFit="1" customWidth="1"/>
    <col min="3336" max="3336" width="12" style="114" bestFit="1" customWidth="1"/>
    <col min="3337" max="3337" width="16" style="114" bestFit="1" customWidth="1"/>
    <col min="3338" max="3338" width="8.85546875" style="114"/>
    <col min="3339" max="3339" width="16" style="114" bestFit="1" customWidth="1"/>
    <col min="3340" max="3341" width="8.85546875" style="114"/>
    <col min="3342" max="3342" width="14.7109375" style="114" bestFit="1" customWidth="1"/>
    <col min="3343" max="3588" width="8.85546875" style="114"/>
    <col min="3589" max="3589" width="17.85546875" style="114" bestFit="1" customWidth="1"/>
    <col min="3590" max="3590" width="15.42578125" style="114" bestFit="1" customWidth="1"/>
    <col min="3591" max="3591" width="13.7109375" style="114" bestFit="1" customWidth="1"/>
    <col min="3592" max="3592" width="12" style="114" bestFit="1" customWidth="1"/>
    <col min="3593" max="3593" width="16" style="114" bestFit="1" customWidth="1"/>
    <col min="3594" max="3594" width="8.85546875" style="114"/>
    <col min="3595" max="3595" width="16" style="114" bestFit="1" customWidth="1"/>
    <col min="3596" max="3597" width="8.85546875" style="114"/>
    <col min="3598" max="3598" width="14.7109375" style="114" bestFit="1" customWidth="1"/>
    <col min="3599" max="3844" width="8.85546875" style="114"/>
    <col min="3845" max="3845" width="17.85546875" style="114" bestFit="1" customWidth="1"/>
    <col min="3846" max="3846" width="15.42578125" style="114" bestFit="1" customWidth="1"/>
    <col min="3847" max="3847" width="13.7109375" style="114" bestFit="1" customWidth="1"/>
    <col min="3848" max="3848" width="12" style="114" bestFit="1" customWidth="1"/>
    <col min="3849" max="3849" width="16" style="114" bestFit="1" customWidth="1"/>
    <col min="3850" max="3850" width="8.85546875" style="114"/>
    <col min="3851" max="3851" width="16" style="114" bestFit="1" customWidth="1"/>
    <col min="3852" max="3853" width="8.85546875" style="114"/>
    <col min="3854" max="3854" width="14.7109375" style="114" bestFit="1" customWidth="1"/>
    <col min="3855" max="4100" width="8.85546875" style="114"/>
    <col min="4101" max="4101" width="17.85546875" style="114" bestFit="1" customWidth="1"/>
    <col min="4102" max="4102" width="15.42578125" style="114" bestFit="1" customWidth="1"/>
    <col min="4103" max="4103" width="13.7109375" style="114" bestFit="1" customWidth="1"/>
    <col min="4104" max="4104" width="12" style="114" bestFit="1" customWidth="1"/>
    <col min="4105" max="4105" width="16" style="114" bestFit="1" customWidth="1"/>
    <col min="4106" max="4106" width="8.85546875" style="114"/>
    <col min="4107" max="4107" width="16" style="114" bestFit="1" customWidth="1"/>
    <col min="4108" max="4109" width="8.85546875" style="114"/>
    <col min="4110" max="4110" width="14.7109375" style="114" bestFit="1" customWidth="1"/>
    <col min="4111" max="4356" width="8.85546875" style="114"/>
    <col min="4357" max="4357" width="17.85546875" style="114" bestFit="1" customWidth="1"/>
    <col min="4358" max="4358" width="15.42578125" style="114" bestFit="1" customWidth="1"/>
    <col min="4359" max="4359" width="13.7109375" style="114" bestFit="1" customWidth="1"/>
    <col min="4360" max="4360" width="12" style="114" bestFit="1" customWidth="1"/>
    <col min="4361" max="4361" width="16" style="114" bestFit="1" customWidth="1"/>
    <col min="4362" max="4362" width="8.85546875" style="114"/>
    <col min="4363" max="4363" width="16" style="114" bestFit="1" customWidth="1"/>
    <col min="4364" max="4365" width="8.85546875" style="114"/>
    <col min="4366" max="4366" width="14.7109375" style="114" bestFit="1" customWidth="1"/>
    <col min="4367" max="4612" width="8.85546875" style="114"/>
    <col min="4613" max="4613" width="17.85546875" style="114" bestFit="1" customWidth="1"/>
    <col min="4614" max="4614" width="15.42578125" style="114" bestFit="1" customWidth="1"/>
    <col min="4615" max="4615" width="13.7109375" style="114" bestFit="1" customWidth="1"/>
    <col min="4616" max="4616" width="12" style="114" bestFit="1" customWidth="1"/>
    <col min="4617" max="4617" width="16" style="114" bestFit="1" customWidth="1"/>
    <col min="4618" max="4618" width="8.85546875" style="114"/>
    <col min="4619" max="4619" width="16" style="114" bestFit="1" customWidth="1"/>
    <col min="4620" max="4621" width="8.85546875" style="114"/>
    <col min="4622" max="4622" width="14.7109375" style="114" bestFit="1" customWidth="1"/>
    <col min="4623" max="4868" width="8.85546875" style="114"/>
    <col min="4869" max="4869" width="17.85546875" style="114" bestFit="1" customWidth="1"/>
    <col min="4870" max="4870" width="15.42578125" style="114" bestFit="1" customWidth="1"/>
    <col min="4871" max="4871" width="13.7109375" style="114" bestFit="1" customWidth="1"/>
    <col min="4872" max="4872" width="12" style="114" bestFit="1" customWidth="1"/>
    <col min="4873" max="4873" width="16" style="114" bestFit="1" customWidth="1"/>
    <col min="4874" max="4874" width="8.85546875" style="114"/>
    <col min="4875" max="4875" width="16" style="114" bestFit="1" customWidth="1"/>
    <col min="4876" max="4877" width="8.85546875" style="114"/>
    <col min="4878" max="4878" width="14.7109375" style="114" bestFit="1" customWidth="1"/>
    <col min="4879" max="5124" width="8.85546875" style="114"/>
    <col min="5125" max="5125" width="17.85546875" style="114" bestFit="1" customWidth="1"/>
    <col min="5126" max="5126" width="15.42578125" style="114" bestFit="1" customWidth="1"/>
    <col min="5127" max="5127" width="13.7109375" style="114" bestFit="1" customWidth="1"/>
    <col min="5128" max="5128" width="12" style="114" bestFit="1" customWidth="1"/>
    <col min="5129" max="5129" width="16" style="114" bestFit="1" customWidth="1"/>
    <col min="5130" max="5130" width="8.85546875" style="114"/>
    <col min="5131" max="5131" width="16" style="114" bestFit="1" customWidth="1"/>
    <col min="5132" max="5133" width="8.85546875" style="114"/>
    <col min="5134" max="5134" width="14.7109375" style="114" bestFit="1" customWidth="1"/>
    <col min="5135" max="5380" width="8.85546875" style="114"/>
    <col min="5381" max="5381" width="17.85546875" style="114" bestFit="1" customWidth="1"/>
    <col min="5382" max="5382" width="15.42578125" style="114" bestFit="1" customWidth="1"/>
    <col min="5383" max="5383" width="13.7109375" style="114" bestFit="1" customWidth="1"/>
    <col min="5384" max="5384" width="12" style="114" bestFit="1" customWidth="1"/>
    <col min="5385" max="5385" width="16" style="114" bestFit="1" customWidth="1"/>
    <col min="5386" max="5386" width="8.85546875" style="114"/>
    <col min="5387" max="5387" width="16" style="114" bestFit="1" customWidth="1"/>
    <col min="5388" max="5389" width="8.85546875" style="114"/>
    <col min="5390" max="5390" width="14.7109375" style="114" bestFit="1" customWidth="1"/>
    <col min="5391" max="5636" width="8.85546875" style="114"/>
    <col min="5637" max="5637" width="17.85546875" style="114" bestFit="1" customWidth="1"/>
    <col min="5638" max="5638" width="15.42578125" style="114" bestFit="1" customWidth="1"/>
    <col min="5639" max="5639" width="13.7109375" style="114" bestFit="1" customWidth="1"/>
    <col min="5640" max="5640" width="12" style="114" bestFit="1" customWidth="1"/>
    <col min="5641" max="5641" width="16" style="114" bestFit="1" customWidth="1"/>
    <col min="5642" max="5642" width="8.85546875" style="114"/>
    <col min="5643" max="5643" width="16" style="114" bestFit="1" customWidth="1"/>
    <col min="5644" max="5645" width="8.85546875" style="114"/>
    <col min="5646" max="5646" width="14.7109375" style="114" bestFit="1" customWidth="1"/>
    <col min="5647" max="5892" width="8.85546875" style="114"/>
    <col min="5893" max="5893" width="17.85546875" style="114" bestFit="1" customWidth="1"/>
    <col min="5894" max="5894" width="15.42578125" style="114" bestFit="1" customWidth="1"/>
    <col min="5895" max="5895" width="13.7109375" style="114" bestFit="1" customWidth="1"/>
    <col min="5896" max="5896" width="12" style="114" bestFit="1" customWidth="1"/>
    <col min="5897" max="5897" width="16" style="114" bestFit="1" customWidth="1"/>
    <col min="5898" max="5898" width="8.85546875" style="114"/>
    <col min="5899" max="5899" width="16" style="114" bestFit="1" customWidth="1"/>
    <col min="5900" max="5901" width="8.85546875" style="114"/>
    <col min="5902" max="5902" width="14.7109375" style="114" bestFit="1" customWidth="1"/>
    <col min="5903" max="6148" width="8.85546875" style="114"/>
    <col min="6149" max="6149" width="17.85546875" style="114" bestFit="1" customWidth="1"/>
    <col min="6150" max="6150" width="15.42578125" style="114" bestFit="1" customWidth="1"/>
    <col min="6151" max="6151" width="13.7109375" style="114" bestFit="1" customWidth="1"/>
    <col min="6152" max="6152" width="12" style="114" bestFit="1" customWidth="1"/>
    <col min="6153" max="6153" width="16" style="114" bestFit="1" customWidth="1"/>
    <col min="6154" max="6154" width="8.85546875" style="114"/>
    <col min="6155" max="6155" width="16" style="114" bestFit="1" customWidth="1"/>
    <col min="6156" max="6157" width="8.85546875" style="114"/>
    <col min="6158" max="6158" width="14.7109375" style="114" bestFit="1" customWidth="1"/>
    <col min="6159" max="6404" width="8.85546875" style="114"/>
    <col min="6405" max="6405" width="17.85546875" style="114" bestFit="1" customWidth="1"/>
    <col min="6406" max="6406" width="15.42578125" style="114" bestFit="1" customWidth="1"/>
    <col min="6407" max="6407" width="13.7109375" style="114" bestFit="1" customWidth="1"/>
    <col min="6408" max="6408" width="12" style="114" bestFit="1" customWidth="1"/>
    <col min="6409" max="6409" width="16" style="114" bestFit="1" customWidth="1"/>
    <col min="6410" max="6410" width="8.85546875" style="114"/>
    <col min="6411" max="6411" width="16" style="114" bestFit="1" customWidth="1"/>
    <col min="6412" max="6413" width="8.85546875" style="114"/>
    <col min="6414" max="6414" width="14.7109375" style="114" bestFit="1" customWidth="1"/>
    <col min="6415" max="6660" width="8.85546875" style="114"/>
    <col min="6661" max="6661" width="17.85546875" style="114" bestFit="1" customWidth="1"/>
    <col min="6662" max="6662" width="15.42578125" style="114" bestFit="1" customWidth="1"/>
    <col min="6663" max="6663" width="13.7109375" style="114" bestFit="1" customWidth="1"/>
    <col min="6664" max="6664" width="12" style="114" bestFit="1" customWidth="1"/>
    <col min="6665" max="6665" width="16" style="114" bestFit="1" customWidth="1"/>
    <col min="6666" max="6666" width="8.85546875" style="114"/>
    <col min="6667" max="6667" width="16" style="114" bestFit="1" customWidth="1"/>
    <col min="6668" max="6669" width="8.85546875" style="114"/>
    <col min="6670" max="6670" width="14.7109375" style="114" bestFit="1" customWidth="1"/>
    <col min="6671" max="6916" width="8.85546875" style="114"/>
    <col min="6917" max="6917" width="17.85546875" style="114" bestFit="1" customWidth="1"/>
    <col min="6918" max="6918" width="15.42578125" style="114" bestFit="1" customWidth="1"/>
    <col min="6919" max="6919" width="13.7109375" style="114" bestFit="1" customWidth="1"/>
    <col min="6920" max="6920" width="12" style="114" bestFit="1" customWidth="1"/>
    <col min="6921" max="6921" width="16" style="114" bestFit="1" customWidth="1"/>
    <col min="6922" max="6922" width="8.85546875" style="114"/>
    <col min="6923" max="6923" width="16" style="114" bestFit="1" customWidth="1"/>
    <col min="6924" max="6925" width="8.85546875" style="114"/>
    <col min="6926" max="6926" width="14.7109375" style="114" bestFit="1" customWidth="1"/>
    <col min="6927" max="7172" width="8.85546875" style="114"/>
    <col min="7173" max="7173" width="17.85546875" style="114" bestFit="1" customWidth="1"/>
    <col min="7174" max="7174" width="15.42578125" style="114" bestFit="1" customWidth="1"/>
    <col min="7175" max="7175" width="13.7109375" style="114" bestFit="1" customWidth="1"/>
    <col min="7176" max="7176" width="12" style="114" bestFit="1" customWidth="1"/>
    <col min="7177" max="7177" width="16" style="114" bestFit="1" customWidth="1"/>
    <col min="7178" max="7178" width="8.85546875" style="114"/>
    <col min="7179" max="7179" width="16" style="114" bestFit="1" customWidth="1"/>
    <col min="7180" max="7181" width="8.85546875" style="114"/>
    <col min="7182" max="7182" width="14.7109375" style="114" bestFit="1" customWidth="1"/>
    <col min="7183" max="7428" width="8.85546875" style="114"/>
    <col min="7429" max="7429" width="17.85546875" style="114" bestFit="1" customWidth="1"/>
    <col min="7430" max="7430" width="15.42578125" style="114" bestFit="1" customWidth="1"/>
    <col min="7431" max="7431" width="13.7109375" style="114" bestFit="1" customWidth="1"/>
    <col min="7432" max="7432" width="12" style="114" bestFit="1" customWidth="1"/>
    <col min="7433" max="7433" width="16" style="114" bestFit="1" customWidth="1"/>
    <col min="7434" max="7434" width="8.85546875" style="114"/>
    <col min="7435" max="7435" width="16" style="114" bestFit="1" customWidth="1"/>
    <col min="7436" max="7437" width="8.85546875" style="114"/>
    <col min="7438" max="7438" width="14.7109375" style="114" bestFit="1" customWidth="1"/>
    <col min="7439" max="7684" width="8.85546875" style="114"/>
    <col min="7685" max="7685" width="17.85546875" style="114" bestFit="1" customWidth="1"/>
    <col min="7686" max="7686" width="15.42578125" style="114" bestFit="1" customWidth="1"/>
    <col min="7687" max="7687" width="13.7109375" style="114" bestFit="1" customWidth="1"/>
    <col min="7688" max="7688" width="12" style="114" bestFit="1" customWidth="1"/>
    <col min="7689" max="7689" width="16" style="114" bestFit="1" customWidth="1"/>
    <col min="7690" max="7690" width="8.85546875" style="114"/>
    <col min="7691" max="7691" width="16" style="114" bestFit="1" customWidth="1"/>
    <col min="7692" max="7693" width="8.85546875" style="114"/>
    <col min="7694" max="7694" width="14.7109375" style="114" bestFit="1" customWidth="1"/>
    <col min="7695" max="7940" width="8.85546875" style="114"/>
    <col min="7941" max="7941" width="17.85546875" style="114" bestFit="1" customWidth="1"/>
    <col min="7942" max="7942" width="15.42578125" style="114" bestFit="1" customWidth="1"/>
    <col min="7943" max="7943" width="13.7109375" style="114" bestFit="1" customWidth="1"/>
    <col min="7944" max="7944" width="12" style="114" bestFit="1" customWidth="1"/>
    <col min="7945" max="7945" width="16" style="114" bestFit="1" customWidth="1"/>
    <col min="7946" max="7946" width="8.85546875" style="114"/>
    <col min="7947" max="7947" width="16" style="114" bestFit="1" customWidth="1"/>
    <col min="7948" max="7949" width="8.85546875" style="114"/>
    <col min="7950" max="7950" width="14.7109375" style="114" bestFit="1" customWidth="1"/>
    <col min="7951" max="8196" width="8.85546875" style="114"/>
    <col min="8197" max="8197" width="17.85546875" style="114" bestFit="1" customWidth="1"/>
    <col min="8198" max="8198" width="15.42578125" style="114" bestFit="1" customWidth="1"/>
    <col min="8199" max="8199" width="13.7109375" style="114" bestFit="1" customWidth="1"/>
    <col min="8200" max="8200" width="12" style="114" bestFit="1" customWidth="1"/>
    <col min="8201" max="8201" width="16" style="114" bestFit="1" customWidth="1"/>
    <col min="8202" max="8202" width="8.85546875" style="114"/>
    <col min="8203" max="8203" width="16" style="114" bestFit="1" customWidth="1"/>
    <col min="8204" max="8205" width="8.85546875" style="114"/>
    <col min="8206" max="8206" width="14.7109375" style="114" bestFit="1" customWidth="1"/>
    <col min="8207" max="8452" width="8.85546875" style="114"/>
    <col min="8453" max="8453" width="17.85546875" style="114" bestFit="1" customWidth="1"/>
    <col min="8454" max="8454" width="15.42578125" style="114" bestFit="1" customWidth="1"/>
    <col min="8455" max="8455" width="13.7109375" style="114" bestFit="1" customWidth="1"/>
    <col min="8456" max="8456" width="12" style="114" bestFit="1" customWidth="1"/>
    <col min="8457" max="8457" width="16" style="114" bestFit="1" customWidth="1"/>
    <col min="8458" max="8458" width="8.85546875" style="114"/>
    <col min="8459" max="8459" width="16" style="114" bestFit="1" customWidth="1"/>
    <col min="8460" max="8461" width="8.85546875" style="114"/>
    <col min="8462" max="8462" width="14.7109375" style="114" bestFit="1" customWidth="1"/>
    <col min="8463" max="8708" width="8.85546875" style="114"/>
    <col min="8709" max="8709" width="17.85546875" style="114" bestFit="1" customWidth="1"/>
    <col min="8710" max="8710" width="15.42578125" style="114" bestFit="1" customWidth="1"/>
    <col min="8711" max="8711" width="13.7109375" style="114" bestFit="1" customWidth="1"/>
    <col min="8712" max="8712" width="12" style="114" bestFit="1" customWidth="1"/>
    <col min="8713" max="8713" width="16" style="114" bestFit="1" customWidth="1"/>
    <col min="8714" max="8714" width="8.85546875" style="114"/>
    <col min="8715" max="8715" width="16" style="114" bestFit="1" customWidth="1"/>
    <col min="8716" max="8717" width="8.85546875" style="114"/>
    <col min="8718" max="8718" width="14.7109375" style="114" bestFit="1" customWidth="1"/>
    <col min="8719" max="8964" width="8.85546875" style="114"/>
    <col min="8965" max="8965" width="17.85546875" style="114" bestFit="1" customWidth="1"/>
    <col min="8966" max="8966" width="15.42578125" style="114" bestFit="1" customWidth="1"/>
    <col min="8967" max="8967" width="13.7109375" style="114" bestFit="1" customWidth="1"/>
    <col min="8968" max="8968" width="12" style="114" bestFit="1" customWidth="1"/>
    <col min="8969" max="8969" width="16" style="114" bestFit="1" customWidth="1"/>
    <col min="8970" max="8970" width="8.85546875" style="114"/>
    <col min="8971" max="8971" width="16" style="114" bestFit="1" customWidth="1"/>
    <col min="8972" max="8973" width="8.85546875" style="114"/>
    <col min="8974" max="8974" width="14.7109375" style="114" bestFit="1" customWidth="1"/>
    <col min="8975" max="9220" width="8.85546875" style="114"/>
    <col min="9221" max="9221" width="17.85546875" style="114" bestFit="1" customWidth="1"/>
    <col min="9222" max="9222" width="15.42578125" style="114" bestFit="1" customWidth="1"/>
    <col min="9223" max="9223" width="13.7109375" style="114" bestFit="1" customWidth="1"/>
    <col min="9224" max="9224" width="12" style="114" bestFit="1" customWidth="1"/>
    <col min="9225" max="9225" width="16" style="114" bestFit="1" customWidth="1"/>
    <col min="9226" max="9226" width="8.85546875" style="114"/>
    <col min="9227" max="9227" width="16" style="114" bestFit="1" customWidth="1"/>
    <col min="9228" max="9229" width="8.85546875" style="114"/>
    <col min="9230" max="9230" width="14.7109375" style="114" bestFit="1" customWidth="1"/>
    <col min="9231" max="9476" width="8.85546875" style="114"/>
    <col min="9477" max="9477" width="17.85546875" style="114" bestFit="1" customWidth="1"/>
    <col min="9478" max="9478" width="15.42578125" style="114" bestFit="1" customWidth="1"/>
    <col min="9479" max="9479" width="13.7109375" style="114" bestFit="1" customWidth="1"/>
    <col min="9480" max="9480" width="12" style="114" bestFit="1" customWidth="1"/>
    <col min="9481" max="9481" width="16" style="114" bestFit="1" customWidth="1"/>
    <col min="9482" max="9482" width="8.85546875" style="114"/>
    <col min="9483" max="9483" width="16" style="114" bestFit="1" customWidth="1"/>
    <col min="9484" max="9485" width="8.85546875" style="114"/>
    <col min="9486" max="9486" width="14.7109375" style="114" bestFit="1" customWidth="1"/>
    <col min="9487" max="9732" width="8.85546875" style="114"/>
    <col min="9733" max="9733" width="17.85546875" style="114" bestFit="1" customWidth="1"/>
    <col min="9734" max="9734" width="15.42578125" style="114" bestFit="1" customWidth="1"/>
    <col min="9735" max="9735" width="13.7109375" style="114" bestFit="1" customWidth="1"/>
    <col min="9736" max="9736" width="12" style="114" bestFit="1" customWidth="1"/>
    <col min="9737" max="9737" width="16" style="114" bestFit="1" customWidth="1"/>
    <col min="9738" max="9738" width="8.85546875" style="114"/>
    <col min="9739" max="9739" width="16" style="114" bestFit="1" customWidth="1"/>
    <col min="9740" max="9741" width="8.85546875" style="114"/>
    <col min="9742" max="9742" width="14.7109375" style="114" bestFit="1" customWidth="1"/>
    <col min="9743" max="9988" width="8.85546875" style="114"/>
    <col min="9989" max="9989" width="17.85546875" style="114" bestFit="1" customWidth="1"/>
    <col min="9990" max="9990" width="15.42578125" style="114" bestFit="1" customWidth="1"/>
    <col min="9991" max="9991" width="13.7109375" style="114" bestFit="1" customWidth="1"/>
    <col min="9992" max="9992" width="12" style="114" bestFit="1" customWidth="1"/>
    <col min="9993" max="9993" width="16" style="114" bestFit="1" customWidth="1"/>
    <col min="9994" max="9994" width="8.85546875" style="114"/>
    <col min="9995" max="9995" width="16" style="114" bestFit="1" customWidth="1"/>
    <col min="9996" max="9997" width="8.85546875" style="114"/>
    <col min="9998" max="9998" width="14.7109375" style="114" bestFit="1" customWidth="1"/>
    <col min="9999" max="10244" width="8.85546875" style="114"/>
    <col min="10245" max="10245" width="17.85546875" style="114" bestFit="1" customWidth="1"/>
    <col min="10246" max="10246" width="15.42578125" style="114" bestFit="1" customWidth="1"/>
    <col min="10247" max="10247" width="13.7109375" style="114" bestFit="1" customWidth="1"/>
    <col min="10248" max="10248" width="12" style="114" bestFit="1" customWidth="1"/>
    <col min="10249" max="10249" width="16" style="114" bestFit="1" customWidth="1"/>
    <col min="10250" max="10250" width="8.85546875" style="114"/>
    <col min="10251" max="10251" width="16" style="114" bestFit="1" customWidth="1"/>
    <col min="10252" max="10253" width="8.85546875" style="114"/>
    <col min="10254" max="10254" width="14.7109375" style="114" bestFit="1" customWidth="1"/>
    <col min="10255" max="10500" width="8.85546875" style="114"/>
    <col min="10501" max="10501" width="17.85546875" style="114" bestFit="1" customWidth="1"/>
    <col min="10502" max="10502" width="15.42578125" style="114" bestFit="1" customWidth="1"/>
    <col min="10503" max="10503" width="13.7109375" style="114" bestFit="1" customWidth="1"/>
    <col min="10504" max="10504" width="12" style="114" bestFit="1" customWidth="1"/>
    <col min="10505" max="10505" width="16" style="114" bestFit="1" customWidth="1"/>
    <col min="10506" max="10506" width="8.85546875" style="114"/>
    <col min="10507" max="10507" width="16" style="114" bestFit="1" customWidth="1"/>
    <col min="10508" max="10509" width="8.85546875" style="114"/>
    <col min="10510" max="10510" width="14.7109375" style="114" bestFit="1" customWidth="1"/>
    <col min="10511" max="10756" width="8.85546875" style="114"/>
    <col min="10757" max="10757" width="17.85546875" style="114" bestFit="1" customWidth="1"/>
    <col min="10758" max="10758" width="15.42578125" style="114" bestFit="1" customWidth="1"/>
    <col min="10759" max="10759" width="13.7109375" style="114" bestFit="1" customWidth="1"/>
    <col min="10760" max="10760" width="12" style="114" bestFit="1" customWidth="1"/>
    <col min="10761" max="10761" width="16" style="114" bestFit="1" customWidth="1"/>
    <col min="10762" max="10762" width="8.85546875" style="114"/>
    <col min="10763" max="10763" width="16" style="114" bestFit="1" customWidth="1"/>
    <col min="10764" max="10765" width="8.85546875" style="114"/>
    <col min="10766" max="10766" width="14.7109375" style="114" bestFit="1" customWidth="1"/>
    <col min="10767" max="11012" width="8.85546875" style="114"/>
    <col min="11013" max="11013" width="17.85546875" style="114" bestFit="1" customWidth="1"/>
    <col min="11014" max="11014" width="15.42578125" style="114" bestFit="1" customWidth="1"/>
    <col min="11015" max="11015" width="13.7109375" style="114" bestFit="1" customWidth="1"/>
    <col min="11016" max="11016" width="12" style="114" bestFit="1" customWidth="1"/>
    <col min="11017" max="11017" width="16" style="114" bestFit="1" customWidth="1"/>
    <col min="11018" max="11018" width="8.85546875" style="114"/>
    <col min="11019" max="11019" width="16" style="114" bestFit="1" customWidth="1"/>
    <col min="11020" max="11021" width="8.85546875" style="114"/>
    <col min="11022" max="11022" width="14.7109375" style="114" bestFit="1" customWidth="1"/>
    <col min="11023" max="11268" width="8.85546875" style="114"/>
    <col min="11269" max="11269" width="17.85546875" style="114" bestFit="1" customWidth="1"/>
    <col min="11270" max="11270" width="15.42578125" style="114" bestFit="1" customWidth="1"/>
    <col min="11271" max="11271" width="13.7109375" style="114" bestFit="1" customWidth="1"/>
    <col min="11272" max="11272" width="12" style="114" bestFit="1" customWidth="1"/>
    <col min="11273" max="11273" width="16" style="114" bestFit="1" customWidth="1"/>
    <col min="11274" max="11274" width="8.85546875" style="114"/>
    <col min="11275" max="11275" width="16" style="114" bestFit="1" customWidth="1"/>
    <col min="11276" max="11277" width="8.85546875" style="114"/>
    <col min="11278" max="11278" width="14.7109375" style="114" bestFit="1" customWidth="1"/>
    <col min="11279" max="11524" width="8.85546875" style="114"/>
    <col min="11525" max="11525" width="17.85546875" style="114" bestFit="1" customWidth="1"/>
    <col min="11526" max="11526" width="15.42578125" style="114" bestFit="1" customWidth="1"/>
    <col min="11527" max="11527" width="13.7109375" style="114" bestFit="1" customWidth="1"/>
    <col min="11528" max="11528" width="12" style="114" bestFit="1" customWidth="1"/>
    <col min="11529" max="11529" width="16" style="114" bestFit="1" customWidth="1"/>
    <col min="11530" max="11530" width="8.85546875" style="114"/>
    <col min="11531" max="11531" width="16" style="114" bestFit="1" customWidth="1"/>
    <col min="11532" max="11533" width="8.85546875" style="114"/>
    <col min="11534" max="11534" width="14.7109375" style="114" bestFit="1" customWidth="1"/>
    <col min="11535" max="11780" width="8.85546875" style="114"/>
    <col min="11781" max="11781" width="17.85546875" style="114" bestFit="1" customWidth="1"/>
    <col min="11782" max="11782" width="15.42578125" style="114" bestFit="1" customWidth="1"/>
    <col min="11783" max="11783" width="13.7109375" style="114" bestFit="1" customWidth="1"/>
    <col min="11784" max="11784" width="12" style="114" bestFit="1" customWidth="1"/>
    <col min="11785" max="11785" width="16" style="114" bestFit="1" customWidth="1"/>
    <col min="11786" max="11786" width="8.85546875" style="114"/>
    <col min="11787" max="11787" width="16" style="114" bestFit="1" customWidth="1"/>
    <col min="11788" max="11789" width="8.85546875" style="114"/>
    <col min="11790" max="11790" width="14.7109375" style="114" bestFit="1" customWidth="1"/>
    <col min="11791" max="12036" width="8.85546875" style="114"/>
    <col min="12037" max="12037" width="17.85546875" style="114" bestFit="1" customWidth="1"/>
    <col min="12038" max="12038" width="15.42578125" style="114" bestFit="1" customWidth="1"/>
    <col min="12039" max="12039" width="13.7109375" style="114" bestFit="1" customWidth="1"/>
    <col min="12040" max="12040" width="12" style="114" bestFit="1" customWidth="1"/>
    <col min="12041" max="12041" width="16" style="114" bestFit="1" customWidth="1"/>
    <col min="12042" max="12042" width="8.85546875" style="114"/>
    <col min="12043" max="12043" width="16" style="114" bestFit="1" customWidth="1"/>
    <col min="12044" max="12045" width="8.85546875" style="114"/>
    <col min="12046" max="12046" width="14.7109375" style="114" bestFit="1" customWidth="1"/>
    <col min="12047" max="12292" width="8.85546875" style="114"/>
    <col min="12293" max="12293" width="17.85546875" style="114" bestFit="1" customWidth="1"/>
    <col min="12294" max="12294" width="15.42578125" style="114" bestFit="1" customWidth="1"/>
    <col min="12295" max="12295" width="13.7109375" style="114" bestFit="1" customWidth="1"/>
    <col min="12296" max="12296" width="12" style="114" bestFit="1" customWidth="1"/>
    <col min="12297" max="12297" width="16" style="114" bestFit="1" customWidth="1"/>
    <col min="12298" max="12298" width="8.85546875" style="114"/>
    <col min="12299" max="12299" width="16" style="114" bestFit="1" customWidth="1"/>
    <col min="12300" max="12301" width="8.85546875" style="114"/>
    <col min="12302" max="12302" width="14.7109375" style="114" bestFit="1" customWidth="1"/>
    <col min="12303" max="12548" width="8.85546875" style="114"/>
    <col min="12549" max="12549" width="17.85546875" style="114" bestFit="1" customWidth="1"/>
    <col min="12550" max="12550" width="15.42578125" style="114" bestFit="1" customWidth="1"/>
    <col min="12551" max="12551" width="13.7109375" style="114" bestFit="1" customWidth="1"/>
    <col min="12552" max="12552" width="12" style="114" bestFit="1" customWidth="1"/>
    <col min="12553" max="12553" width="16" style="114" bestFit="1" customWidth="1"/>
    <col min="12554" max="12554" width="8.85546875" style="114"/>
    <col min="12555" max="12555" width="16" style="114" bestFit="1" customWidth="1"/>
    <col min="12556" max="12557" width="8.85546875" style="114"/>
    <col min="12558" max="12558" width="14.7109375" style="114" bestFit="1" customWidth="1"/>
    <col min="12559" max="12804" width="8.85546875" style="114"/>
    <col min="12805" max="12805" width="17.85546875" style="114" bestFit="1" customWidth="1"/>
    <col min="12806" max="12806" width="15.42578125" style="114" bestFit="1" customWidth="1"/>
    <col min="12807" max="12807" width="13.7109375" style="114" bestFit="1" customWidth="1"/>
    <col min="12808" max="12808" width="12" style="114" bestFit="1" customWidth="1"/>
    <col min="12809" max="12809" width="16" style="114" bestFit="1" customWidth="1"/>
    <col min="12810" max="12810" width="8.85546875" style="114"/>
    <col min="12811" max="12811" width="16" style="114" bestFit="1" customWidth="1"/>
    <col min="12812" max="12813" width="8.85546875" style="114"/>
    <col min="12814" max="12814" width="14.7109375" style="114" bestFit="1" customWidth="1"/>
    <col min="12815" max="13060" width="8.85546875" style="114"/>
    <col min="13061" max="13061" width="17.85546875" style="114" bestFit="1" customWidth="1"/>
    <col min="13062" max="13062" width="15.42578125" style="114" bestFit="1" customWidth="1"/>
    <col min="13063" max="13063" width="13.7109375" style="114" bestFit="1" customWidth="1"/>
    <col min="13064" max="13064" width="12" style="114" bestFit="1" customWidth="1"/>
    <col min="13065" max="13065" width="16" style="114" bestFit="1" customWidth="1"/>
    <col min="13066" max="13066" width="8.85546875" style="114"/>
    <col min="13067" max="13067" width="16" style="114" bestFit="1" customWidth="1"/>
    <col min="13068" max="13069" width="8.85546875" style="114"/>
    <col min="13070" max="13070" width="14.7109375" style="114" bestFit="1" customWidth="1"/>
    <col min="13071" max="13316" width="8.85546875" style="114"/>
    <col min="13317" max="13317" width="17.85546875" style="114" bestFit="1" customWidth="1"/>
    <col min="13318" max="13318" width="15.42578125" style="114" bestFit="1" customWidth="1"/>
    <col min="13319" max="13319" width="13.7109375" style="114" bestFit="1" customWidth="1"/>
    <col min="13320" max="13320" width="12" style="114" bestFit="1" customWidth="1"/>
    <col min="13321" max="13321" width="16" style="114" bestFit="1" customWidth="1"/>
    <col min="13322" max="13322" width="8.85546875" style="114"/>
    <col min="13323" max="13323" width="16" style="114" bestFit="1" customWidth="1"/>
    <col min="13324" max="13325" width="8.85546875" style="114"/>
    <col min="13326" max="13326" width="14.7109375" style="114" bestFit="1" customWidth="1"/>
    <col min="13327" max="13572" width="8.85546875" style="114"/>
    <col min="13573" max="13573" width="17.85546875" style="114" bestFit="1" customWidth="1"/>
    <col min="13574" max="13574" width="15.42578125" style="114" bestFit="1" customWidth="1"/>
    <col min="13575" max="13575" width="13.7109375" style="114" bestFit="1" customWidth="1"/>
    <col min="13576" max="13576" width="12" style="114" bestFit="1" customWidth="1"/>
    <col min="13577" max="13577" width="16" style="114" bestFit="1" customWidth="1"/>
    <col min="13578" max="13578" width="8.85546875" style="114"/>
    <col min="13579" max="13579" width="16" style="114" bestFit="1" customWidth="1"/>
    <col min="13580" max="13581" width="8.85546875" style="114"/>
    <col min="13582" max="13582" width="14.7109375" style="114" bestFit="1" customWidth="1"/>
    <col min="13583" max="13828" width="8.85546875" style="114"/>
    <col min="13829" max="13829" width="17.85546875" style="114" bestFit="1" customWidth="1"/>
    <col min="13830" max="13830" width="15.42578125" style="114" bestFit="1" customWidth="1"/>
    <col min="13831" max="13831" width="13.7109375" style="114" bestFit="1" customWidth="1"/>
    <col min="13832" max="13832" width="12" style="114" bestFit="1" customWidth="1"/>
    <col min="13833" max="13833" width="16" style="114" bestFit="1" customWidth="1"/>
    <col min="13834" max="13834" width="8.85546875" style="114"/>
    <col min="13835" max="13835" width="16" style="114" bestFit="1" customWidth="1"/>
    <col min="13836" max="13837" width="8.85546875" style="114"/>
    <col min="13838" max="13838" width="14.7109375" style="114" bestFit="1" customWidth="1"/>
    <col min="13839" max="14084" width="8.85546875" style="114"/>
    <col min="14085" max="14085" width="17.85546875" style="114" bestFit="1" customWidth="1"/>
    <col min="14086" max="14086" width="15.42578125" style="114" bestFit="1" customWidth="1"/>
    <col min="14087" max="14087" width="13.7109375" style="114" bestFit="1" customWidth="1"/>
    <col min="14088" max="14088" width="12" style="114" bestFit="1" customWidth="1"/>
    <col min="14089" max="14089" width="16" style="114" bestFit="1" customWidth="1"/>
    <col min="14090" max="14090" width="8.85546875" style="114"/>
    <col min="14091" max="14091" width="16" style="114" bestFit="1" customWidth="1"/>
    <col min="14092" max="14093" width="8.85546875" style="114"/>
    <col min="14094" max="14094" width="14.7109375" style="114" bestFit="1" customWidth="1"/>
    <col min="14095" max="14340" width="8.85546875" style="114"/>
    <col min="14341" max="14341" width="17.85546875" style="114" bestFit="1" customWidth="1"/>
    <col min="14342" max="14342" width="15.42578125" style="114" bestFit="1" customWidth="1"/>
    <col min="14343" max="14343" width="13.7109375" style="114" bestFit="1" customWidth="1"/>
    <col min="14344" max="14344" width="12" style="114" bestFit="1" customWidth="1"/>
    <col min="14345" max="14345" width="16" style="114" bestFit="1" customWidth="1"/>
    <col min="14346" max="14346" width="8.85546875" style="114"/>
    <col min="14347" max="14347" width="16" style="114" bestFit="1" customWidth="1"/>
    <col min="14348" max="14349" width="8.85546875" style="114"/>
    <col min="14350" max="14350" width="14.7109375" style="114" bestFit="1" customWidth="1"/>
    <col min="14351" max="14596" width="8.85546875" style="114"/>
    <col min="14597" max="14597" width="17.85546875" style="114" bestFit="1" customWidth="1"/>
    <col min="14598" max="14598" width="15.42578125" style="114" bestFit="1" customWidth="1"/>
    <col min="14599" max="14599" width="13.7109375" style="114" bestFit="1" customWidth="1"/>
    <col min="14600" max="14600" width="12" style="114" bestFit="1" customWidth="1"/>
    <col min="14601" max="14601" width="16" style="114" bestFit="1" customWidth="1"/>
    <col min="14602" max="14602" width="8.85546875" style="114"/>
    <col min="14603" max="14603" width="16" style="114" bestFit="1" customWidth="1"/>
    <col min="14604" max="14605" width="8.85546875" style="114"/>
    <col min="14606" max="14606" width="14.7109375" style="114" bestFit="1" customWidth="1"/>
    <col min="14607" max="14852" width="8.85546875" style="114"/>
    <col min="14853" max="14853" width="17.85546875" style="114" bestFit="1" customWidth="1"/>
    <col min="14854" max="14854" width="15.42578125" style="114" bestFit="1" customWidth="1"/>
    <col min="14855" max="14855" width="13.7109375" style="114" bestFit="1" customWidth="1"/>
    <col min="14856" max="14856" width="12" style="114" bestFit="1" customWidth="1"/>
    <col min="14857" max="14857" width="16" style="114" bestFit="1" customWidth="1"/>
    <col min="14858" max="14858" width="8.85546875" style="114"/>
    <col min="14859" max="14859" width="16" style="114" bestFit="1" customWidth="1"/>
    <col min="14860" max="14861" width="8.85546875" style="114"/>
    <col min="14862" max="14862" width="14.7109375" style="114" bestFit="1" customWidth="1"/>
    <col min="14863" max="15108" width="8.85546875" style="114"/>
    <col min="15109" max="15109" width="17.85546875" style="114" bestFit="1" customWidth="1"/>
    <col min="15110" max="15110" width="15.42578125" style="114" bestFit="1" customWidth="1"/>
    <col min="15111" max="15111" width="13.7109375" style="114" bestFit="1" customWidth="1"/>
    <col min="15112" max="15112" width="12" style="114" bestFit="1" customWidth="1"/>
    <col min="15113" max="15113" width="16" style="114" bestFit="1" customWidth="1"/>
    <col min="15114" max="15114" width="8.85546875" style="114"/>
    <col min="15115" max="15115" width="16" style="114" bestFit="1" customWidth="1"/>
    <col min="15116" max="15117" width="8.85546875" style="114"/>
    <col min="15118" max="15118" width="14.7109375" style="114" bestFit="1" customWidth="1"/>
    <col min="15119" max="15364" width="8.85546875" style="114"/>
    <col min="15365" max="15365" width="17.85546875" style="114" bestFit="1" customWidth="1"/>
    <col min="15366" max="15366" width="15.42578125" style="114" bestFit="1" customWidth="1"/>
    <col min="15367" max="15367" width="13.7109375" style="114" bestFit="1" customWidth="1"/>
    <col min="15368" max="15368" width="12" style="114" bestFit="1" customWidth="1"/>
    <col min="15369" max="15369" width="16" style="114" bestFit="1" customWidth="1"/>
    <col min="15370" max="15370" width="8.85546875" style="114"/>
    <col min="15371" max="15371" width="16" style="114" bestFit="1" customWidth="1"/>
    <col min="15372" max="15373" width="8.85546875" style="114"/>
    <col min="15374" max="15374" width="14.7109375" style="114" bestFit="1" customWidth="1"/>
    <col min="15375" max="15620" width="8.85546875" style="114"/>
    <col min="15621" max="15621" width="17.85546875" style="114" bestFit="1" customWidth="1"/>
    <col min="15622" max="15622" width="15.42578125" style="114" bestFit="1" customWidth="1"/>
    <col min="15623" max="15623" width="13.7109375" style="114" bestFit="1" customWidth="1"/>
    <col min="15624" max="15624" width="12" style="114" bestFit="1" customWidth="1"/>
    <col min="15625" max="15625" width="16" style="114" bestFit="1" customWidth="1"/>
    <col min="15626" max="15626" width="8.85546875" style="114"/>
    <col min="15627" max="15627" width="16" style="114" bestFit="1" customWidth="1"/>
    <col min="15628" max="15629" width="8.85546875" style="114"/>
    <col min="15630" max="15630" width="14.7109375" style="114" bestFit="1" customWidth="1"/>
    <col min="15631" max="15876" width="8.85546875" style="114"/>
    <col min="15877" max="15877" width="17.85546875" style="114" bestFit="1" customWidth="1"/>
    <col min="15878" max="15878" width="15.42578125" style="114" bestFit="1" customWidth="1"/>
    <col min="15879" max="15879" width="13.7109375" style="114" bestFit="1" customWidth="1"/>
    <col min="15880" max="15880" width="12" style="114" bestFit="1" customWidth="1"/>
    <col min="15881" max="15881" width="16" style="114" bestFit="1" customWidth="1"/>
    <col min="15882" max="15882" width="8.85546875" style="114"/>
    <col min="15883" max="15883" width="16" style="114" bestFit="1" customWidth="1"/>
    <col min="15884" max="15885" width="8.85546875" style="114"/>
    <col min="15886" max="15886" width="14.7109375" style="114" bestFit="1" customWidth="1"/>
    <col min="15887" max="16132" width="8.85546875" style="114"/>
    <col min="16133" max="16133" width="17.85546875" style="114" bestFit="1" customWidth="1"/>
    <col min="16134" max="16134" width="15.42578125" style="114" bestFit="1" customWidth="1"/>
    <col min="16135" max="16135" width="13.7109375" style="114" bestFit="1" customWidth="1"/>
    <col min="16136" max="16136" width="12" style="114" bestFit="1" customWidth="1"/>
    <col min="16137" max="16137" width="16" style="114" bestFit="1" customWidth="1"/>
    <col min="16138" max="16138" width="8.85546875" style="114"/>
    <col min="16139" max="16139" width="16" style="114" bestFit="1" customWidth="1"/>
    <col min="16140" max="16141" width="8.85546875" style="114"/>
    <col min="16142" max="16142" width="14.7109375" style="114" bestFit="1" customWidth="1"/>
    <col min="16143" max="16384" width="8.85546875" style="114"/>
  </cols>
  <sheetData>
    <row r="1" spans="5:14" x14ac:dyDescent="0.2">
      <c r="E1" s="126" t="s">
        <v>277</v>
      </c>
      <c r="F1" s="126" t="s">
        <v>278</v>
      </c>
      <c r="G1" s="126" t="s">
        <v>118</v>
      </c>
      <c r="H1" s="126" t="s">
        <v>119</v>
      </c>
      <c r="I1" s="126" t="s">
        <v>279</v>
      </c>
      <c r="J1" s="126" t="s">
        <v>49</v>
      </c>
      <c r="K1" s="126" t="s">
        <v>280</v>
      </c>
      <c r="M1" s="125" t="s">
        <v>49</v>
      </c>
      <c r="N1" s="124" t="s">
        <v>280</v>
      </c>
    </row>
    <row r="2" spans="5:14" x14ac:dyDescent="0.2">
      <c r="E2" s="123" t="s">
        <v>281</v>
      </c>
      <c r="F2" s="114" t="s">
        <v>282</v>
      </c>
      <c r="G2" s="114">
        <v>8249.327669812732</v>
      </c>
      <c r="H2" s="114">
        <v>594.8782420079541</v>
      </c>
      <c r="I2" s="114">
        <v>7654.4494278047778</v>
      </c>
      <c r="J2" s="114" t="s">
        <v>283</v>
      </c>
      <c r="K2" s="114" t="str">
        <f t="shared" ref="K2:K13" si="0">VLOOKUP(J2,$M$2:$N$7,2,TRUE)</f>
        <v>3-East</v>
      </c>
      <c r="M2" s="122" t="s">
        <v>283</v>
      </c>
      <c r="N2" s="121" t="s">
        <v>284</v>
      </c>
    </row>
    <row r="3" spans="5:14" x14ac:dyDescent="0.2">
      <c r="E3" s="116" t="s">
        <v>285</v>
      </c>
      <c r="F3" s="114" t="s">
        <v>270</v>
      </c>
      <c r="G3" s="114">
        <v>6557.8729832219478</v>
      </c>
      <c r="H3" s="114">
        <v>83.339385972085097</v>
      </c>
      <c r="I3" s="114">
        <v>6474.5335972498624</v>
      </c>
      <c r="J3" s="114" t="s">
        <v>286</v>
      </c>
      <c r="K3" s="114" t="str">
        <f t="shared" si="0"/>
        <v>2-South</v>
      </c>
      <c r="M3" s="120" t="s">
        <v>287</v>
      </c>
      <c r="N3" s="119" t="s">
        <v>288</v>
      </c>
    </row>
    <row r="4" spans="5:14" x14ac:dyDescent="0.2">
      <c r="E4" s="116" t="s">
        <v>289</v>
      </c>
      <c r="F4" s="114" t="s">
        <v>274</v>
      </c>
      <c r="G4" s="114">
        <v>6180.0357471981151</v>
      </c>
      <c r="H4" s="114">
        <v>551.2667803915291</v>
      </c>
      <c r="I4" s="114">
        <v>5628.7689668065859</v>
      </c>
      <c r="J4" s="114" t="s">
        <v>290</v>
      </c>
      <c r="K4" s="114" t="str">
        <f t="shared" si="0"/>
        <v>3-East</v>
      </c>
      <c r="M4" s="120" t="s">
        <v>290</v>
      </c>
      <c r="N4" s="119" t="s">
        <v>291</v>
      </c>
    </row>
    <row r="5" spans="5:14" x14ac:dyDescent="0.2">
      <c r="E5" s="116" t="s">
        <v>292</v>
      </c>
      <c r="F5" s="114" t="s">
        <v>270</v>
      </c>
      <c r="G5" s="114">
        <v>9915.4543112250485</v>
      </c>
      <c r="H5" s="114">
        <v>336.85767843720402</v>
      </c>
      <c r="I5" s="114">
        <v>9578.596632787845</v>
      </c>
      <c r="J5" s="114" t="s">
        <v>286</v>
      </c>
      <c r="K5" s="114" t="str">
        <f t="shared" si="0"/>
        <v>2-South</v>
      </c>
      <c r="M5" s="120" t="s">
        <v>286</v>
      </c>
      <c r="N5" s="119" t="s">
        <v>293</v>
      </c>
    </row>
    <row r="6" spans="5:14" x14ac:dyDescent="0.2">
      <c r="E6" s="116" t="s">
        <v>294</v>
      </c>
      <c r="F6" s="114" t="s">
        <v>270</v>
      </c>
      <c r="G6" s="114">
        <v>4047.6691780881433</v>
      </c>
      <c r="H6" s="114">
        <v>481.00830089228009</v>
      </c>
      <c r="I6" s="114">
        <v>3566.6608771958631</v>
      </c>
      <c r="J6" s="114" t="s">
        <v>295</v>
      </c>
      <c r="K6" s="114" t="str">
        <f t="shared" si="0"/>
        <v>2-South</v>
      </c>
      <c r="M6" s="120" t="s">
        <v>296</v>
      </c>
      <c r="N6" s="119" t="s">
        <v>284</v>
      </c>
    </row>
    <row r="7" spans="5:14" x14ac:dyDescent="0.2">
      <c r="E7" s="116" t="s">
        <v>297</v>
      </c>
      <c r="F7" s="114" t="s">
        <v>282</v>
      </c>
      <c r="G7" s="114">
        <v>4797.0875045760986</v>
      </c>
      <c r="H7" s="114">
        <v>962.35509434426979</v>
      </c>
      <c r="I7" s="114">
        <v>3834.7324102318289</v>
      </c>
      <c r="J7" s="114" t="s">
        <v>296</v>
      </c>
      <c r="K7" s="114" t="str">
        <f t="shared" si="0"/>
        <v>1-North</v>
      </c>
      <c r="M7" s="118" t="s">
        <v>295</v>
      </c>
      <c r="N7" s="117" t="s">
        <v>288</v>
      </c>
    </row>
    <row r="8" spans="5:14" x14ac:dyDescent="0.2">
      <c r="E8" s="116" t="s">
        <v>298</v>
      </c>
      <c r="F8" s="114" t="s">
        <v>274</v>
      </c>
      <c r="G8" s="114">
        <v>6537.8001010167409</v>
      </c>
      <c r="H8" s="114">
        <v>931.96972478373198</v>
      </c>
      <c r="I8" s="114">
        <v>5605.8303762330088</v>
      </c>
      <c r="J8" s="114" t="s">
        <v>283</v>
      </c>
      <c r="K8" s="114" t="str">
        <f t="shared" si="0"/>
        <v>3-East</v>
      </c>
    </row>
    <row r="9" spans="5:14" x14ac:dyDescent="0.2">
      <c r="E9" s="116" t="s">
        <v>299</v>
      </c>
      <c r="F9" s="114" t="s">
        <v>270</v>
      </c>
      <c r="G9" s="114">
        <v>3151.4227753703763</v>
      </c>
      <c r="H9" s="114">
        <v>848.2135170177911</v>
      </c>
      <c r="I9" s="114">
        <v>2303.209258352585</v>
      </c>
      <c r="J9" s="114" t="s">
        <v>287</v>
      </c>
      <c r="K9" s="114" t="str">
        <f t="shared" si="0"/>
        <v>1-North</v>
      </c>
    </row>
    <row r="10" spans="5:14" x14ac:dyDescent="0.2">
      <c r="E10" s="116" t="s">
        <v>300</v>
      </c>
      <c r="F10" s="114" t="s">
        <v>274</v>
      </c>
      <c r="G10" s="114">
        <v>9504.7818270497992</v>
      </c>
      <c r="H10" s="114">
        <v>827.56322444340958</v>
      </c>
      <c r="I10" s="114">
        <v>8677.21860260639</v>
      </c>
      <c r="J10" s="114" t="s">
        <v>290</v>
      </c>
      <c r="K10" s="114" t="str">
        <f t="shared" si="0"/>
        <v>3-East</v>
      </c>
    </row>
    <row r="11" spans="5:14" x14ac:dyDescent="0.2">
      <c r="E11" s="116" t="s">
        <v>301</v>
      </c>
      <c r="F11" s="114" t="s">
        <v>282</v>
      </c>
      <c r="G11" s="114">
        <v>9378.1404699584928</v>
      </c>
      <c r="H11" s="114">
        <v>566.79765360330634</v>
      </c>
      <c r="I11" s="114">
        <v>8811.3428163551871</v>
      </c>
      <c r="J11" s="114" t="s">
        <v>286</v>
      </c>
      <c r="K11" s="114" t="str">
        <f t="shared" si="0"/>
        <v>2-South</v>
      </c>
    </row>
    <row r="12" spans="5:14" x14ac:dyDescent="0.2">
      <c r="E12" s="116" t="s">
        <v>302</v>
      </c>
      <c r="F12" s="114" t="s">
        <v>270</v>
      </c>
      <c r="G12" s="114">
        <v>6772.1330424373045</v>
      </c>
      <c r="H12" s="114">
        <v>436.87998361183077</v>
      </c>
      <c r="I12" s="114">
        <v>6335.253058825474</v>
      </c>
      <c r="J12" s="114" t="s">
        <v>295</v>
      </c>
      <c r="K12" s="114" t="str">
        <f t="shared" si="0"/>
        <v>2-South</v>
      </c>
    </row>
    <row r="13" spans="5:14" x14ac:dyDescent="0.2">
      <c r="E13" s="116" t="s">
        <v>303</v>
      </c>
      <c r="F13" s="114" t="s">
        <v>282</v>
      </c>
      <c r="G13" s="115">
        <v>48922666.986699536</v>
      </c>
      <c r="H13" s="114">
        <v>41584266.938694604</v>
      </c>
      <c r="I13" s="114">
        <v>7338400.0480049327</v>
      </c>
      <c r="J13" s="114" t="s">
        <v>296</v>
      </c>
      <c r="K13" s="114" t="str">
        <f t="shared" si="0"/>
        <v>1-North</v>
      </c>
    </row>
  </sheetData>
  <pageMargins left="0.75" right="0.75" top="1" bottom="1" header="0.5" footer="0.5"/>
  <pageSetup orientation="portrait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FF00"/>
  </sheetPr>
  <dimension ref="A2:H18"/>
  <sheetViews>
    <sheetView workbookViewId="0">
      <selection activeCell="A21" sqref="A21"/>
    </sheetView>
  </sheetViews>
  <sheetFormatPr defaultColWidth="9.140625" defaultRowHeight="15" x14ac:dyDescent="0.25"/>
  <cols>
    <col min="1" max="1" width="38.140625" style="129" bestFit="1" customWidth="1"/>
    <col min="2" max="2" width="7.7109375" style="129" customWidth="1"/>
    <col min="3" max="16384" width="9.140625" style="129"/>
  </cols>
  <sheetData>
    <row r="2" spans="1:8" x14ac:dyDescent="0.25">
      <c r="A2" s="129" t="s">
        <v>305</v>
      </c>
      <c r="C2" s="131" t="s">
        <v>306</v>
      </c>
    </row>
    <row r="3" spans="1:8" x14ac:dyDescent="0.25">
      <c r="A3" s="129" t="s">
        <v>307</v>
      </c>
      <c r="C3" s="131">
        <v>2</v>
      </c>
    </row>
    <row r="4" spans="1:8" ht="15.75" thickBot="1" x14ac:dyDescent="0.3"/>
    <row r="5" spans="1:8" ht="17.25" thickTop="1" thickBot="1" x14ac:dyDescent="0.3">
      <c r="A5" s="133" t="s">
        <v>308</v>
      </c>
      <c r="C5" s="132"/>
    </row>
    <row r="6" spans="1:8" ht="15.75" thickTop="1" x14ac:dyDescent="0.25">
      <c r="H6" s="131"/>
    </row>
    <row r="8" spans="1:8" x14ac:dyDescent="0.25">
      <c r="B8" s="130">
        <v>1</v>
      </c>
      <c r="C8" s="130" t="s">
        <v>306</v>
      </c>
      <c r="D8" s="130" t="s">
        <v>169</v>
      </c>
      <c r="E8" s="130" t="s">
        <v>309</v>
      </c>
    </row>
    <row r="9" spans="1:8" x14ac:dyDescent="0.25">
      <c r="B9" s="130">
        <v>2</v>
      </c>
      <c r="C9" s="130">
        <v>3.5</v>
      </c>
      <c r="D9" s="130">
        <v>4</v>
      </c>
      <c r="E9" s="130">
        <v>6.66</v>
      </c>
    </row>
    <row r="10" spans="1:8" x14ac:dyDescent="0.25">
      <c r="B10" s="130">
        <v>3</v>
      </c>
      <c r="C10" s="130">
        <v>5.53</v>
      </c>
      <c r="D10" s="130">
        <v>6.75</v>
      </c>
      <c r="E10" s="130">
        <v>10.5</v>
      </c>
    </row>
    <row r="11" spans="1:8" x14ac:dyDescent="0.25">
      <c r="B11" s="130">
        <v>4</v>
      </c>
      <c r="C11" s="130">
        <v>7.77</v>
      </c>
      <c r="D11" s="130">
        <v>10.33</v>
      </c>
      <c r="E11" s="130">
        <v>16</v>
      </c>
    </row>
    <row r="18" spans="1:1" x14ac:dyDescent="0.25">
      <c r="A18" s="53" t="s">
        <v>143</v>
      </c>
    </row>
  </sheetData>
  <hyperlinks>
    <hyperlink ref="A18" location="'Learning Outcomes'!A1" display="Go to Learning Outcomes" xr:uid="{00000000-0004-0000-1700-000000000000}"/>
  </hyperlinks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3" tint="0.79998168889431442"/>
  </sheetPr>
  <dimension ref="B2:D8"/>
  <sheetViews>
    <sheetView workbookViewId="0">
      <selection activeCell="A21" sqref="A21"/>
    </sheetView>
  </sheetViews>
  <sheetFormatPr defaultColWidth="9.140625" defaultRowHeight="12.75" x14ac:dyDescent="0.2"/>
  <cols>
    <col min="1" max="1" width="9.140625" style="114"/>
    <col min="2" max="2" width="26.28515625" style="114" bestFit="1" customWidth="1"/>
    <col min="3" max="3" width="19.42578125" style="114" customWidth="1"/>
    <col min="4" max="4" width="41.28515625" style="114" bestFit="1" customWidth="1"/>
    <col min="5" max="16384" width="9.140625" style="114"/>
  </cols>
  <sheetData>
    <row r="2" spans="2:4" ht="18" x14ac:dyDescent="0.25">
      <c r="B2" s="85" t="s">
        <v>310</v>
      </c>
      <c r="C2" s="55"/>
      <c r="D2" s="85" t="s">
        <v>311</v>
      </c>
    </row>
    <row r="8" spans="2:4" ht="15" x14ac:dyDescent="0.25">
      <c r="B8" s="53" t="s">
        <v>143</v>
      </c>
    </row>
  </sheetData>
  <hyperlinks>
    <hyperlink ref="B8" location="'Learning Outcomes'!A1" display="Go to Learning Outcomes" xr:uid="{00000000-0004-0000-1800-000000000000}"/>
  </hyperlinks>
  <pageMargins left="0.75" right="0.75" top="1" bottom="1" header="0.5" footer="0.5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3" tint="0.79998168889431442"/>
  </sheetPr>
  <dimension ref="B2:D6"/>
  <sheetViews>
    <sheetView workbookViewId="0">
      <selection activeCell="A21" sqref="A21"/>
    </sheetView>
  </sheetViews>
  <sheetFormatPr defaultColWidth="9.140625" defaultRowHeight="12.75" x14ac:dyDescent="0.2"/>
  <cols>
    <col min="1" max="1" width="9.140625" style="114"/>
    <col min="2" max="2" width="36" style="114" bestFit="1" customWidth="1"/>
    <col min="3" max="3" width="23.28515625" style="114" customWidth="1"/>
    <col min="4" max="4" width="63.5703125" style="114" bestFit="1" customWidth="1"/>
    <col min="5" max="16384" width="9.140625" style="114"/>
  </cols>
  <sheetData>
    <row r="2" spans="2:4" ht="18" x14ac:dyDescent="0.25">
      <c r="B2" s="85" t="s">
        <v>312</v>
      </c>
      <c r="C2" s="55"/>
      <c r="D2" s="85" t="s">
        <v>313</v>
      </c>
    </row>
    <row r="6" spans="2:4" ht="15" x14ac:dyDescent="0.25">
      <c r="B6" s="53" t="s">
        <v>143</v>
      </c>
    </row>
  </sheetData>
  <hyperlinks>
    <hyperlink ref="B6" location="'Learning Outcomes'!A1" display="Go to Learning Outcomes" xr:uid="{00000000-0004-0000-1900-000000000000}"/>
  </hyperlinks>
  <pageMargins left="0.75" right="0.75" top="1" bottom="1" header="0.5" footer="0.5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3" tint="0.79998168889431442"/>
  </sheetPr>
  <dimension ref="B3:D14"/>
  <sheetViews>
    <sheetView workbookViewId="0">
      <selection activeCell="A21" sqref="A21"/>
    </sheetView>
  </sheetViews>
  <sheetFormatPr defaultColWidth="9.140625" defaultRowHeight="12.75" x14ac:dyDescent="0.2"/>
  <cols>
    <col min="1" max="1" width="9.140625" style="114"/>
    <col min="2" max="2" width="34.85546875" style="114" bestFit="1" customWidth="1"/>
    <col min="3" max="3" width="19.42578125" style="114" customWidth="1"/>
    <col min="4" max="4" width="62.85546875" style="114" customWidth="1"/>
    <col min="5" max="16384" width="9.140625" style="114"/>
  </cols>
  <sheetData>
    <row r="3" spans="2:4" ht="18" x14ac:dyDescent="0.25">
      <c r="B3" s="85" t="s">
        <v>314</v>
      </c>
      <c r="C3" s="128">
        <f ca="1">TODAY()</f>
        <v>44582</v>
      </c>
      <c r="D3" s="85"/>
    </row>
    <row r="4" spans="2:4" ht="18" x14ac:dyDescent="0.25">
      <c r="B4" s="85"/>
      <c r="C4" s="85"/>
    </row>
    <row r="5" spans="2:4" ht="18" x14ac:dyDescent="0.25">
      <c r="C5" s="85"/>
    </row>
    <row r="6" spans="2:4" ht="18" x14ac:dyDescent="0.25">
      <c r="B6" s="85" t="s">
        <v>315</v>
      </c>
      <c r="C6" s="55"/>
      <c r="D6" s="85" t="s">
        <v>316</v>
      </c>
    </row>
    <row r="10" spans="2:4" ht="15" x14ac:dyDescent="0.25">
      <c r="B10" s="53" t="s">
        <v>143</v>
      </c>
    </row>
    <row r="14" spans="2:4" x14ac:dyDescent="0.2">
      <c r="B14" s="114" t="s">
        <v>317</v>
      </c>
    </row>
  </sheetData>
  <hyperlinks>
    <hyperlink ref="B10" location="'Learning Outcomes'!A1" display="Go to Learning Outcomes" xr:uid="{00000000-0004-0000-1A00-000000000000}"/>
  </hyperlinks>
  <pageMargins left="0.75" right="0.75" top="1" bottom="1" header="0.5" footer="0.5"/>
  <pageSetup paperSize="9" orientation="portrait" horizontalDpi="4294967293" verticalDpi="4294967293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3" tint="0.79998168889431442"/>
  </sheetPr>
  <dimension ref="B3:D10"/>
  <sheetViews>
    <sheetView workbookViewId="0">
      <selection activeCell="A21" sqref="A21"/>
    </sheetView>
  </sheetViews>
  <sheetFormatPr defaultColWidth="9.140625" defaultRowHeight="12.75" x14ac:dyDescent="0.2"/>
  <cols>
    <col min="1" max="1" width="9.140625" style="114"/>
    <col min="2" max="2" width="25.42578125" style="114" bestFit="1" customWidth="1"/>
    <col min="3" max="3" width="19.42578125" style="114" customWidth="1"/>
    <col min="4" max="4" width="56.28515625" style="114" bestFit="1" customWidth="1"/>
    <col min="5" max="16384" width="9.140625" style="114"/>
  </cols>
  <sheetData>
    <row r="3" spans="2:4" ht="18" x14ac:dyDescent="0.25">
      <c r="B3" s="85" t="s">
        <v>314</v>
      </c>
      <c r="C3" s="128">
        <f ca="1">TODAY()</f>
        <v>44582</v>
      </c>
    </row>
    <row r="4" spans="2:4" ht="18" x14ac:dyDescent="0.25">
      <c r="B4" s="85"/>
      <c r="C4" s="85"/>
    </row>
    <row r="5" spans="2:4" ht="18" x14ac:dyDescent="0.25">
      <c r="B5" s="85"/>
      <c r="C5" s="85"/>
    </row>
    <row r="6" spans="2:4" ht="18" x14ac:dyDescent="0.25">
      <c r="B6" s="85" t="s">
        <v>318</v>
      </c>
      <c r="C6" s="55"/>
      <c r="D6" s="85" t="s">
        <v>319</v>
      </c>
    </row>
    <row r="10" spans="2:4" ht="15" x14ac:dyDescent="0.25">
      <c r="B10" s="53" t="s">
        <v>143</v>
      </c>
    </row>
  </sheetData>
  <hyperlinks>
    <hyperlink ref="B10" location="'Learning Outcomes'!A1" display="Go to Learning Outcomes" xr:uid="{00000000-0004-0000-1B00-000000000000}"/>
  </hyperlinks>
  <pageMargins left="0.75" right="0.75" top="1" bottom="1" header="0.5" footer="0.5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3" tint="0.79998168889431442"/>
  </sheetPr>
  <dimension ref="B3:D10"/>
  <sheetViews>
    <sheetView workbookViewId="0">
      <selection activeCell="A21" sqref="A21"/>
    </sheetView>
  </sheetViews>
  <sheetFormatPr defaultColWidth="9.140625" defaultRowHeight="12.75" x14ac:dyDescent="0.2"/>
  <cols>
    <col min="1" max="1" width="9.140625" style="114"/>
    <col min="2" max="2" width="25.42578125" style="114" bestFit="1" customWidth="1"/>
    <col min="3" max="3" width="19.42578125" style="114" customWidth="1"/>
    <col min="4" max="4" width="64.5703125" style="114" bestFit="1" customWidth="1"/>
    <col min="5" max="16384" width="9.140625" style="114"/>
  </cols>
  <sheetData>
    <row r="3" spans="2:4" ht="18" x14ac:dyDescent="0.25">
      <c r="B3" s="85" t="s">
        <v>314</v>
      </c>
      <c r="C3" s="128">
        <f ca="1">TODAY()</f>
        <v>44582</v>
      </c>
    </row>
    <row r="4" spans="2:4" ht="18" x14ac:dyDescent="0.25">
      <c r="B4" s="85"/>
      <c r="C4" s="85"/>
    </row>
    <row r="5" spans="2:4" ht="18" x14ac:dyDescent="0.25">
      <c r="B5" s="85"/>
      <c r="C5" s="85"/>
    </row>
    <row r="6" spans="2:4" ht="18" x14ac:dyDescent="0.25">
      <c r="B6" s="85" t="s">
        <v>320</v>
      </c>
      <c r="C6" s="55"/>
      <c r="D6" s="85" t="s">
        <v>321</v>
      </c>
    </row>
    <row r="10" spans="2:4" ht="15" x14ac:dyDescent="0.25">
      <c r="B10" s="53" t="s">
        <v>143</v>
      </c>
    </row>
  </sheetData>
  <hyperlinks>
    <hyperlink ref="B10" location="'Learning Outcomes'!A1" display="Go to Learning Outcomes" xr:uid="{00000000-0004-0000-1C00-000000000000}"/>
  </hyperlinks>
  <pageMargins left="0.75" right="0.75" top="1" bottom="1" header="0.5" footer="0.5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0" tint="-0.249977111117893"/>
  </sheetPr>
  <dimension ref="A1:I11"/>
  <sheetViews>
    <sheetView workbookViewId="0">
      <selection activeCell="A28" sqref="A28"/>
    </sheetView>
  </sheetViews>
  <sheetFormatPr defaultRowHeight="15" x14ac:dyDescent="0.25"/>
  <cols>
    <col min="1" max="1" width="20" customWidth="1"/>
    <col min="2" max="2" width="19.28515625" bestFit="1" customWidth="1"/>
    <col min="3" max="3" width="11.28515625" bestFit="1" customWidth="1"/>
    <col min="4" max="4" width="13.5703125" customWidth="1"/>
    <col min="5" max="5" width="14.42578125" customWidth="1"/>
    <col min="9" max="9" width="23.5703125" bestFit="1" customWidth="1"/>
  </cols>
  <sheetData>
    <row r="1" spans="1:9" ht="31.5" x14ac:dyDescent="0.5">
      <c r="B1" s="16" t="s">
        <v>322</v>
      </c>
      <c r="C1" s="16"/>
      <c r="D1" s="16"/>
      <c r="E1" s="16"/>
      <c r="F1" s="16"/>
      <c r="G1" s="16"/>
      <c r="H1" s="16"/>
    </row>
    <row r="3" spans="1:9" x14ac:dyDescent="0.25">
      <c r="B3" s="4" t="s">
        <v>40</v>
      </c>
      <c r="C3" s="15">
        <v>20000</v>
      </c>
      <c r="D3" s="3"/>
    </row>
    <row r="4" spans="1:9" x14ac:dyDescent="0.25">
      <c r="A4" s="3"/>
      <c r="B4" s="4" t="s">
        <v>41</v>
      </c>
      <c r="C4" s="14">
        <v>0.05</v>
      </c>
      <c r="D4" s="3"/>
    </row>
    <row r="5" spans="1:9" x14ac:dyDescent="0.25">
      <c r="A5" s="3"/>
      <c r="B5" s="3"/>
      <c r="C5" s="3"/>
      <c r="D5" s="4" t="s">
        <v>42</v>
      </c>
      <c r="E5" s="13" t="s">
        <v>43</v>
      </c>
    </row>
    <row r="6" spans="1:9" x14ac:dyDescent="0.25">
      <c r="A6" s="3"/>
      <c r="B6" s="4" t="s">
        <v>8</v>
      </c>
      <c r="C6" s="127">
        <v>4000</v>
      </c>
      <c r="D6" s="3"/>
      <c r="I6" s="53" t="s">
        <v>143</v>
      </c>
    </row>
    <row r="7" spans="1:9" x14ac:dyDescent="0.25">
      <c r="A7" s="3"/>
      <c r="B7" s="4" t="s">
        <v>10</v>
      </c>
      <c r="C7" s="127">
        <v>100</v>
      </c>
      <c r="D7" s="3"/>
    </row>
    <row r="8" spans="1:9" x14ac:dyDescent="0.25">
      <c r="A8" s="3"/>
      <c r="B8" s="4" t="s">
        <v>12</v>
      </c>
      <c r="C8" s="127">
        <v>8000</v>
      </c>
      <c r="D8" s="3"/>
    </row>
    <row r="9" spans="1:9" x14ac:dyDescent="0.25">
      <c r="A9" s="3"/>
      <c r="B9" s="7" t="s">
        <v>44</v>
      </c>
      <c r="C9" s="127">
        <v>5000</v>
      </c>
      <c r="D9" s="3"/>
    </row>
    <row r="10" spans="1:9" x14ac:dyDescent="0.25">
      <c r="A10" s="3"/>
      <c r="B10" s="7" t="s">
        <v>45</v>
      </c>
      <c r="C10" s="127">
        <v>900</v>
      </c>
      <c r="D10" s="3"/>
    </row>
    <row r="11" spans="1:9" x14ac:dyDescent="0.25">
      <c r="B11" s="7" t="s">
        <v>17</v>
      </c>
      <c r="C11" s="127">
        <v>2000</v>
      </c>
    </row>
  </sheetData>
  <hyperlinks>
    <hyperlink ref="I6" location="'Learning Outcomes'!A1" display="Go to Learning Outcomes" xr:uid="{00000000-0004-0000-1D00-000000000000}"/>
  </hyperlinks>
  <pageMargins left="0.7" right="0.7" top="0.75" bottom="0.75" header="0.3" footer="0.3"/>
  <pageSetup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2" tint="-0.499984740745262"/>
  </sheetPr>
  <dimension ref="A1:E23"/>
  <sheetViews>
    <sheetView zoomScale="145" zoomScaleNormal="145" workbookViewId="0">
      <selection activeCell="A21" sqref="A21"/>
    </sheetView>
  </sheetViews>
  <sheetFormatPr defaultColWidth="9.140625" defaultRowHeight="12.75" x14ac:dyDescent="0.2"/>
  <cols>
    <col min="1" max="1" width="27.7109375" style="134" bestFit="1" customWidth="1"/>
    <col min="2" max="2" width="19.85546875" style="134" bestFit="1" customWidth="1"/>
    <col min="3" max="3" width="20.28515625" style="134" bestFit="1" customWidth="1"/>
    <col min="4" max="4" width="9.140625" style="134"/>
    <col min="5" max="5" width="51.85546875" style="134" customWidth="1"/>
    <col min="6" max="6" width="12.42578125" style="134" customWidth="1"/>
    <col min="7" max="16384" width="9.140625" style="134"/>
  </cols>
  <sheetData>
    <row r="1" spans="1:5" ht="13.5" thickBot="1" x14ac:dyDescent="0.25"/>
    <row r="2" spans="1:5" x14ac:dyDescent="0.2">
      <c r="A2" s="145" t="s">
        <v>323</v>
      </c>
      <c r="B2" s="151" t="s">
        <v>324</v>
      </c>
      <c r="C2" s="150" t="s">
        <v>325</v>
      </c>
    </row>
    <row r="3" spans="1:5" x14ac:dyDescent="0.2">
      <c r="A3" s="149" t="s">
        <v>326</v>
      </c>
      <c r="B3" s="148">
        <v>20</v>
      </c>
      <c r="C3" s="147">
        <v>20</v>
      </c>
    </row>
    <row r="4" spans="1:5" x14ac:dyDescent="0.2">
      <c r="A4" s="149" t="s">
        <v>327</v>
      </c>
      <c r="B4" s="148">
        <v>30</v>
      </c>
      <c r="C4" s="147">
        <v>10</v>
      </c>
    </row>
    <row r="5" spans="1:5" x14ac:dyDescent="0.2">
      <c r="A5" s="149" t="s">
        <v>328</v>
      </c>
      <c r="B5" s="148">
        <v>50</v>
      </c>
      <c r="C5" s="147">
        <v>10</v>
      </c>
    </row>
    <row r="6" spans="1:5" ht="13.5" thickBot="1" x14ac:dyDescent="0.25">
      <c r="A6" s="142" t="s">
        <v>329</v>
      </c>
      <c r="B6" s="141">
        <v>10</v>
      </c>
      <c r="C6" s="140">
        <v>40</v>
      </c>
    </row>
    <row r="7" spans="1:5" ht="13.5" thickBot="1" x14ac:dyDescent="0.25">
      <c r="A7" s="146"/>
    </row>
    <row r="8" spans="1:5" x14ac:dyDescent="0.2">
      <c r="A8" s="145" t="s">
        <v>330</v>
      </c>
      <c r="B8" s="144"/>
      <c r="C8" s="143"/>
      <c r="E8" s="59" t="s">
        <v>331</v>
      </c>
    </row>
    <row r="9" spans="1:5" ht="13.5" thickBot="1" x14ac:dyDescent="0.25">
      <c r="A9" s="142" t="s">
        <v>332</v>
      </c>
      <c r="B9" s="141"/>
      <c r="C9" s="140"/>
      <c r="E9" s="59" t="s">
        <v>333</v>
      </c>
    </row>
    <row r="11" spans="1:5" ht="13.5" thickBot="1" x14ac:dyDescent="0.25"/>
    <row r="12" spans="1:5" ht="13.5" thickBot="1" x14ac:dyDescent="0.25">
      <c r="A12" s="139" t="s">
        <v>334</v>
      </c>
    </row>
    <row r="13" spans="1:5" ht="31.5" thickTop="1" thickBot="1" x14ac:dyDescent="0.3">
      <c r="A13" s="138" t="s">
        <v>335</v>
      </c>
      <c r="B13" s="137"/>
      <c r="C13" s="136"/>
      <c r="E13" s="59" t="s">
        <v>336</v>
      </c>
    </row>
    <row r="14" spans="1:5" ht="13.5" thickTop="1" x14ac:dyDescent="0.2"/>
    <row r="17" spans="1:1" x14ac:dyDescent="0.2">
      <c r="A17" s="135" t="s">
        <v>337</v>
      </c>
    </row>
    <row r="23" spans="1:1" ht="15" x14ac:dyDescent="0.25">
      <c r="A23" s="53" t="s">
        <v>143</v>
      </c>
    </row>
  </sheetData>
  <hyperlinks>
    <hyperlink ref="A23" location="'Learning Outcomes'!A1" display="Go to Learning Outcomes" xr:uid="{00000000-0004-0000-1E00-000000000000}"/>
  </hyperlinks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7"/>
  <sheetViews>
    <sheetView topLeftCell="A7" workbookViewId="0">
      <selection activeCell="A9" sqref="A9"/>
    </sheetView>
  </sheetViews>
  <sheetFormatPr defaultRowHeight="15" x14ac:dyDescent="0.25"/>
  <sheetData>
    <row r="7" spans="1:1" x14ac:dyDescent="0.25">
      <c r="A7" t="s">
        <v>338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theme="3" tint="0.39997558519241921"/>
  </sheetPr>
  <dimension ref="B2:O22"/>
  <sheetViews>
    <sheetView workbookViewId="0">
      <selection activeCell="B29" sqref="B29"/>
    </sheetView>
  </sheetViews>
  <sheetFormatPr defaultColWidth="9.140625" defaultRowHeight="12.75" x14ac:dyDescent="0.2"/>
  <cols>
    <col min="1" max="1" width="10.140625" style="20" customWidth="1"/>
    <col min="2" max="2" width="9.140625" style="20" bestFit="1" customWidth="1"/>
    <col min="3" max="4" width="17" style="20" customWidth="1"/>
    <col min="5" max="5" width="9.140625" style="20"/>
    <col min="6" max="6" width="33.7109375" style="20" customWidth="1"/>
    <col min="7" max="16384" width="9.140625" style="20"/>
  </cols>
  <sheetData>
    <row r="2" spans="2:15" ht="13.5" thickBot="1" x14ac:dyDescent="0.25"/>
    <row r="3" spans="2:15" ht="26.25" x14ac:dyDescent="0.25">
      <c r="B3" s="152" t="s">
        <v>49</v>
      </c>
      <c r="C3" s="153" t="s">
        <v>339</v>
      </c>
      <c r="D3" s="154" t="s">
        <v>340</v>
      </c>
      <c r="F3" s="59" t="s">
        <v>341</v>
      </c>
    </row>
    <row r="4" spans="2:15" ht="15.75" x14ac:dyDescent="0.25">
      <c r="B4" s="155" t="s">
        <v>342</v>
      </c>
      <c r="C4" s="156">
        <v>19483</v>
      </c>
      <c r="D4" s="157">
        <v>23232</v>
      </c>
    </row>
    <row r="5" spans="2:15" ht="15.75" x14ac:dyDescent="0.25">
      <c r="B5" s="155" t="s">
        <v>61</v>
      </c>
      <c r="C5" s="156">
        <v>23244</v>
      </c>
      <c r="D5" s="157">
        <v>32432</v>
      </c>
      <c r="F5" s="158" t="s">
        <v>343</v>
      </c>
    </row>
    <row r="6" spans="2:15" ht="15.75" x14ac:dyDescent="0.25">
      <c r="B6" s="159" t="s">
        <v>57</v>
      </c>
      <c r="C6" s="160">
        <v>10943</v>
      </c>
      <c r="D6" s="161">
        <v>12432</v>
      </c>
    </row>
    <row r="7" spans="2:15" ht="16.5" thickBot="1" x14ac:dyDescent="0.3">
      <c r="B7" s="162" t="s">
        <v>64</v>
      </c>
      <c r="C7" s="163">
        <v>10323</v>
      </c>
      <c r="D7" s="164">
        <v>12654</v>
      </c>
    </row>
    <row r="16" spans="2:15" x14ac:dyDescent="0.2">
      <c r="O16" s="20" t="s">
        <v>344</v>
      </c>
    </row>
    <row r="22" spans="15:15" x14ac:dyDescent="0.2">
      <c r="O22" s="20" t="s">
        <v>345</v>
      </c>
    </row>
  </sheetData>
  <hyperlinks>
    <hyperlink ref="F5" location="'Learning Outcomes'!A1" display="Back to Learning Outcomes" xr:uid="{00000000-0004-0000-2000-000000000000}"/>
  </hyperlinks>
  <pageMargins left="0.75" right="0.75" top="1" bottom="1" header="0.5" footer="0.5"/>
  <pageSetup paperSize="9" orientation="portrait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theme="3" tint="0.39997558519241921"/>
  </sheetPr>
  <dimension ref="B1:O22"/>
  <sheetViews>
    <sheetView zoomScale="115" zoomScaleNormal="115" workbookViewId="0">
      <selection activeCell="B29" sqref="B29"/>
    </sheetView>
  </sheetViews>
  <sheetFormatPr defaultColWidth="9.140625" defaultRowHeight="12.75" x14ac:dyDescent="0.2"/>
  <cols>
    <col min="1" max="1" width="6.5703125" style="20" customWidth="1"/>
    <col min="2" max="2" width="12.140625" style="20" bestFit="1" customWidth="1"/>
    <col min="3" max="3" width="10.42578125" style="20" customWidth="1"/>
    <col min="4" max="4" width="9.85546875" style="20" bestFit="1" customWidth="1"/>
    <col min="5" max="5" width="11.85546875" style="20" bestFit="1" customWidth="1"/>
    <col min="6" max="6" width="17.28515625" style="20" bestFit="1" customWidth="1"/>
    <col min="7" max="7" width="9.140625" style="20"/>
    <col min="8" max="8" width="76.28515625" style="20" customWidth="1"/>
    <col min="9" max="16384" width="9.140625" style="20"/>
  </cols>
  <sheetData>
    <row r="1" spans="2:15" ht="13.5" thickBot="1" x14ac:dyDescent="0.25"/>
    <row r="2" spans="2:15" x14ac:dyDescent="0.2">
      <c r="B2" s="165" t="s">
        <v>346</v>
      </c>
      <c r="C2" s="166" t="s">
        <v>347</v>
      </c>
      <c r="D2" s="167" t="s">
        <v>348</v>
      </c>
      <c r="E2" s="167" t="s">
        <v>349</v>
      </c>
      <c r="F2" s="168" t="s">
        <v>350</v>
      </c>
    </row>
    <row r="3" spans="2:15" x14ac:dyDescent="0.2">
      <c r="B3" s="169" t="s">
        <v>3</v>
      </c>
      <c r="C3" s="170">
        <v>100034</v>
      </c>
      <c r="D3" s="171">
        <v>3.5</v>
      </c>
      <c r="E3" s="171">
        <v>104</v>
      </c>
      <c r="F3" s="172">
        <f>D3*E3</f>
        <v>364</v>
      </c>
      <c r="H3" s="59" t="s">
        <v>351</v>
      </c>
    </row>
    <row r="4" spans="2:15" x14ac:dyDescent="0.2">
      <c r="B4" s="169" t="s">
        <v>4</v>
      </c>
      <c r="C4" s="170">
        <v>100056</v>
      </c>
      <c r="D4" s="171">
        <v>7.2</v>
      </c>
      <c r="E4" s="171">
        <v>12</v>
      </c>
      <c r="F4" s="172">
        <f t="shared" ref="F4:F11" si="0">D4*E4</f>
        <v>86.4</v>
      </c>
    </row>
    <row r="5" spans="2:15" ht="15" x14ac:dyDescent="0.25">
      <c r="B5" s="173" t="s">
        <v>5</v>
      </c>
      <c r="C5" s="174">
        <v>100078</v>
      </c>
      <c r="D5" s="175">
        <v>3.9</v>
      </c>
      <c r="E5" s="175">
        <v>32</v>
      </c>
      <c r="F5" s="176">
        <f t="shared" si="0"/>
        <v>124.8</v>
      </c>
      <c r="H5" s="158" t="s">
        <v>343</v>
      </c>
    </row>
    <row r="6" spans="2:15" x14ac:dyDescent="0.2">
      <c r="B6" s="173" t="s">
        <v>352</v>
      </c>
      <c r="C6" s="174">
        <v>100100</v>
      </c>
      <c r="D6" s="175">
        <v>4.2</v>
      </c>
      <c r="E6" s="175">
        <v>24</v>
      </c>
      <c r="F6" s="176">
        <f t="shared" si="0"/>
        <v>100.80000000000001</v>
      </c>
    </row>
    <row r="7" spans="2:15" x14ac:dyDescent="0.2">
      <c r="B7" s="169" t="s">
        <v>353</v>
      </c>
      <c r="C7" s="170">
        <v>100122</v>
      </c>
      <c r="D7" s="171">
        <v>5.5</v>
      </c>
      <c r="E7" s="171">
        <v>84</v>
      </c>
      <c r="F7" s="172">
        <f t="shared" si="0"/>
        <v>462</v>
      </c>
    </row>
    <row r="8" spans="2:15" x14ac:dyDescent="0.2">
      <c r="B8" s="169" t="s">
        <v>354</v>
      </c>
      <c r="C8" s="170">
        <v>100144</v>
      </c>
      <c r="D8" s="171">
        <v>7.5</v>
      </c>
      <c r="E8" s="171">
        <v>5</v>
      </c>
      <c r="F8" s="172">
        <f t="shared" si="0"/>
        <v>37.5</v>
      </c>
    </row>
    <row r="9" spans="2:15" x14ac:dyDescent="0.2">
      <c r="B9" s="173" t="s">
        <v>355</v>
      </c>
      <c r="C9" s="174">
        <v>100166</v>
      </c>
      <c r="D9" s="175">
        <v>6.3</v>
      </c>
      <c r="E9" s="175">
        <v>18</v>
      </c>
      <c r="F9" s="176">
        <f t="shared" si="0"/>
        <v>113.39999999999999</v>
      </c>
    </row>
    <row r="10" spans="2:15" x14ac:dyDescent="0.2">
      <c r="B10" s="173" t="s">
        <v>356</v>
      </c>
      <c r="C10" s="174">
        <v>100188</v>
      </c>
      <c r="D10" s="175">
        <v>4.95</v>
      </c>
      <c r="E10" s="175">
        <v>24</v>
      </c>
      <c r="F10" s="176">
        <f t="shared" si="0"/>
        <v>118.80000000000001</v>
      </c>
    </row>
    <row r="11" spans="2:15" ht="13.5" thickBot="1" x14ac:dyDescent="0.25">
      <c r="B11" s="177" t="s">
        <v>357</v>
      </c>
      <c r="C11" s="178">
        <v>100210</v>
      </c>
      <c r="D11" s="179">
        <v>3.75</v>
      </c>
      <c r="E11" s="179">
        <v>31</v>
      </c>
      <c r="F11" s="180">
        <f t="shared" si="0"/>
        <v>116.25</v>
      </c>
    </row>
    <row r="16" spans="2:15" x14ac:dyDescent="0.2">
      <c r="O16" s="20" t="s">
        <v>344</v>
      </c>
    </row>
    <row r="22" spans="15:15" x14ac:dyDescent="0.2">
      <c r="O22" s="20" t="s">
        <v>345</v>
      </c>
    </row>
  </sheetData>
  <hyperlinks>
    <hyperlink ref="H5" location="'Learning Outcomes'!A1" display="Back to Learning Outcomes" xr:uid="{00000000-0004-0000-2100-000000000000}"/>
  </hyperlinks>
  <pageMargins left="0.75" right="0.75" top="1" bottom="1" header="0.5" footer="0.5"/>
  <pageSetup paperSize="9" orientation="portrait" horizontalDpi="0" verticalDpi="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theme="3" tint="0.39997558519241921"/>
  </sheetPr>
  <dimension ref="B3:O22"/>
  <sheetViews>
    <sheetView workbookViewId="0">
      <selection activeCell="B29" sqref="B29"/>
    </sheetView>
  </sheetViews>
  <sheetFormatPr defaultColWidth="9.140625" defaultRowHeight="12.75" x14ac:dyDescent="0.2"/>
  <cols>
    <col min="1" max="1" width="9.140625" style="20"/>
    <col min="2" max="2" width="11.42578125" style="20" customWidth="1"/>
    <col min="3" max="3" width="14" style="20" bestFit="1" customWidth="1"/>
    <col min="4" max="4" width="16.42578125" style="20" customWidth="1"/>
    <col min="5" max="5" width="14" style="20" customWidth="1"/>
    <col min="6" max="6" width="9.140625" style="20"/>
    <col min="7" max="7" width="48.85546875" style="20" bestFit="1" customWidth="1"/>
    <col min="8" max="16384" width="9.140625" style="20"/>
  </cols>
  <sheetData>
    <row r="3" spans="2:15" ht="20.25" customHeight="1" x14ac:dyDescent="0.25">
      <c r="B3" s="181" t="s">
        <v>49</v>
      </c>
      <c r="C3" s="181" t="s">
        <v>358</v>
      </c>
      <c r="D3" s="181" t="s">
        <v>359</v>
      </c>
      <c r="E3" s="181" t="s">
        <v>360</v>
      </c>
      <c r="G3" s="158" t="s">
        <v>343</v>
      </c>
    </row>
    <row r="4" spans="2:15" ht="20.25" customHeight="1" x14ac:dyDescent="0.25">
      <c r="B4" s="182" t="s">
        <v>57</v>
      </c>
      <c r="C4" s="182">
        <v>19</v>
      </c>
      <c r="D4" s="182">
        <v>25</v>
      </c>
      <c r="E4" s="182">
        <v>35</v>
      </c>
    </row>
    <row r="5" spans="2:15" ht="20.25" customHeight="1" x14ac:dyDescent="0.25">
      <c r="B5" s="182" t="s">
        <v>64</v>
      </c>
      <c r="C5" s="182">
        <v>23</v>
      </c>
      <c r="D5" s="182">
        <v>27</v>
      </c>
      <c r="E5" s="182">
        <v>30</v>
      </c>
    </row>
    <row r="6" spans="2:15" x14ac:dyDescent="0.2">
      <c r="B6" s="183"/>
      <c r="C6" s="183"/>
      <c r="D6" s="184"/>
      <c r="E6" s="184"/>
    </row>
    <row r="12" spans="2:15" x14ac:dyDescent="0.2">
      <c r="G12" s="59" t="s">
        <v>361</v>
      </c>
    </row>
    <row r="16" spans="2:15" x14ac:dyDescent="0.2">
      <c r="O16" s="20" t="s">
        <v>344</v>
      </c>
    </row>
    <row r="22" spans="15:15" x14ac:dyDescent="0.2">
      <c r="O22" s="20" t="s">
        <v>345</v>
      </c>
    </row>
  </sheetData>
  <hyperlinks>
    <hyperlink ref="G3" location="'Learning Outcomes'!A1" display="Back to Learning Outcomes" xr:uid="{00000000-0004-0000-2200-000000000000}"/>
  </hyperlinks>
  <pageMargins left="0.75" right="0.75" top="1" bottom="1" header="0.5" footer="0.5"/>
  <headerFooter alignWithMargins="0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6" tint="-0.249977111117893"/>
  </sheetPr>
  <dimension ref="B2:O22"/>
  <sheetViews>
    <sheetView workbookViewId="0">
      <selection activeCell="B29" sqref="B29"/>
    </sheetView>
  </sheetViews>
  <sheetFormatPr defaultColWidth="9.140625" defaultRowHeight="12.75" x14ac:dyDescent="0.2"/>
  <cols>
    <col min="1" max="1" width="9.140625" style="52"/>
    <col min="2" max="2" width="9.85546875" style="52" bestFit="1" customWidth="1"/>
    <col min="3" max="4" width="17.5703125" style="52" bestFit="1" customWidth="1"/>
    <col min="5" max="7" width="9.140625" style="52"/>
    <col min="8" max="8" width="41.85546875" style="52" customWidth="1"/>
    <col min="9" max="16384" width="9.140625" style="52"/>
  </cols>
  <sheetData>
    <row r="2" spans="2:15" ht="13.5" thickBot="1" x14ac:dyDescent="0.25"/>
    <row r="3" spans="2:15" ht="16.5" thickTop="1" x14ac:dyDescent="0.25">
      <c r="B3" s="185" t="s">
        <v>49</v>
      </c>
      <c r="C3" s="186" t="s">
        <v>362</v>
      </c>
      <c r="D3" s="187" t="s">
        <v>363</v>
      </c>
      <c r="H3" s="158" t="s">
        <v>343</v>
      </c>
    </row>
    <row r="4" spans="2:15" ht="15.75" x14ac:dyDescent="0.25">
      <c r="B4" s="188" t="s">
        <v>57</v>
      </c>
      <c r="C4" s="189">
        <v>25</v>
      </c>
      <c r="D4" s="190">
        <v>12</v>
      </c>
    </row>
    <row r="5" spans="2:15" ht="15.75" x14ac:dyDescent="0.25">
      <c r="B5" s="188" t="s">
        <v>64</v>
      </c>
      <c r="C5" s="189">
        <v>35</v>
      </c>
      <c r="D5" s="190">
        <v>28</v>
      </c>
    </row>
    <row r="6" spans="2:15" ht="15.75" x14ac:dyDescent="0.25">
      <c r="B6" s="188" t="s">
        <v>342</v>
      </c>
      <c r="C6" s="189">
        <v>26</v>
      </c>
      <c r="D6" s="190">
        <v>31</v>
      </c>
    </row>
    <row r="7" spans="2:15" ht="16.5" thickBot="1" x14ac:dyDescent="0.3">
      <c r="B7" s="191" t="s">
        <v>61</v>
      </c>
      <c r="C7" s="192">
        <v>19</v>
      </c>
      <c r="D7" s="193">
        <v>28</v>
      </c>
    </row>
    <row r="8" spans="2:15" ht="13.5" thickTop="1" x14ac:dyDescent="0.2"/>
    <row r="11" spans="2:15" x14ac:dyDescent="0.2">
      <c r="H11" s="59" t="s">
        <v>364</v>
      </c>
    </row>
    <row r="16" spans="2:15" x14ac:dyDescent="0.2">
      <c r="O16" s="52" t="s">
        <v>344</v>
      </c>
    </row>
    <row r="22" spans="15:15" x14ac:dyDescent="0.2">
      <c r="O22" s="52" t="s">
        <v>345</v>
      </c>
    </row>
  </sheetData>
  <hyperlinks>
    <hyperlink ref="H3" location="'Learning Outcomes'!A1" display="Back to Learning Outcomes" xr:uid="{00000000-0004-0000-2300-000000000000}"/>
  </hyperlinks>
  <pageMargins left="0.75" right="0.75" top="1" bottom="1" header="0.5" footer="0.5"/>
  <headerFooter alignWithMargins="0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theme="6" tint="-0.249977111117893"/>
  </sheetPr>
  <dimension ref="B2:O22"/>
  <sheetViews>
    <sheetView workbookViewId="0">
      <selection activeCell="B29" sqref="B29"/>
    </sheetView>
  </sheetViews>
  <sheetFormatPr defaultColWidth="9.140625" defaultRowHeight="12.75" x14ac:dyDescent="0.2"/>
  <cols>
    <col min="1" max="1" width="9.140625" style="52"/>
    <col min="2" max="2" width="9.85546875" style="52" bestFit="1" customWidth="1"/>
    <col min="3" max="4" width="17.5703125" style="52" bestFit="1" customWidth="1"/>
    <col min="5" max="7" width="9.140625" style="52"/>
    <col min="8" max="8" width="51.28515625" style="52" customWidth="1"/>
    <col min="9" max="16384" width="9.140625" style="52"/>
  </cols>
  <sheetData>
    <row r="2" spans="2:15" ht="13.5" thickBot="1" x14ac:dyDescent="0.25"/>
    <row r="3" spans="2:15" ht="16.5" thickTop="1" x14ac:dyDescent="0.25">
      <c r="B3" s="185" t="s">
        <v>49</v>
      </c>
      <c r="C3" s="186" t="s">
        <v>362</v>
      </c>
      <c r="D3" s="187" t="s">
        <v>363</v>
      </c>
      <c r="H3" s="158" t="s">
        <v>343</v>
      </c>
    </row>
    <row r="4" spans="2:15" ht="15.75" x14ac:dyDescent="0.25">
      <c r="B4" s="188" t="s">
        <v>57</v>
      </c>
      <c r="C4" s="189">
        <v>25</v>
      </c>
      <c r="D4" s="190">
        <v>12</v>
      </c>
    </row>
    <row r="5" spans="2:15" ht="15.75" x14ac:dyDescent="0.25">
      <c r="B5" s="188" t="s">
        <v>64</v>
      </c>
      <c r="C5" s="189">
        <v>35</v>
      </c>
      <c r="D5" s="190">
        <v>28</v>
      </c>
    </row>
    <row r="6" spans="2:15" ht="15.75" x14ac:dyDescent="0.25">
      <c r="B6" s="188" t="s">
        <v>342</v>
      </c>
      <c r="C6" s="189">
        <v>26</v>
      </c>
      <c r="D6" s="190">
        <v>31</v>
      </c>
    </row>
    <row r="7" spans="2:15" ht="16.5" thickBot="1" x14ac:dyDescent="0.3">
      <c r="B7" s="191" t="s">
        <v>61</v>
      </c>
      <c r="C7" s="192">
        <v>19</v>
      </c>
      <c r="D7" s="193">
        <v>28</v>
      </c>
    </row>
    <row r="8" spans="2:15" ht="13.5" thickTop="1" x14ac:dyDescent="0.2"/>
    <row r="11" spans="2:15" x14ac:dyDescent="0.2">
      <c r="H11" s="59" t="s">
        <v>365</v>
      </c>
    </row>
    <row r="16" spans="2:15" x14ac:dyDescent="0.2">
      <c r="O16" s="52" t="s">
        <v>344</v>
      </c>
    </row>
    <row r="22" spans="15:15" x14ac:dyDescent="0.2">
      <c r="O22" s="52" t="s">
        <v>345</v>
      </c>
    </row>
  </sheetData>
  <hyperlinks>
    <hyperlink ref="H3" location="'Learning Outcomes'!A1" display="Back to Learning Outcomes" xr:uid="{00000000-0004-0000-2400-000000000000}"/>
  </hyperlinks>
  <pageMargins left="0.75" right="0.75" top="1" bottom="1" header="0.5" footer="0.5"/>
  <headerFooter alignWithMargins="0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theme="6" tint="-0.249977111117893"/>
  </sheetPr>
  <dimension ref="B2:O22"/>
  <sheetViews>
    <sheetView workbookViewId="0">
      <selection activeCell="B29" sqref="B29"/>
    </sheetView>
  </sheetViews>
  <sheetFormatPr defaultColWidth="9.140625" defaultRowHeight="12.75" x14ac:dyDescent="0.2"/>
  <cols>
    <col min="1" max="1" width="9.140625" style="52"/>
    <col min="2" max="2" width="9.85546875" style="52" bestFit="1" customWidth="1"/>
    <col min="3" max="4" width="17.5703125" style="52" bestFit="1" customWidth="1"/>
    <col min="5" max="7" width="9.140625" style="52"/>
    <col min="8" max="8" width="49.140625" style="52" customWidth="1"/>
    <col min="9" max="16384" width="9.140625" style="52"/>
  </cols>
  <sheetData>
    <row r="2" spans="2:15" ht="13.5" thickBot="1" x14ac:dyDescent="0.25"/>
    <row r="3" spans="2:15" ht="15.75" thickTop="1" x14ac:dyDescent="0.2">
      <c r="B3" s="185" t="s">
        <v>49</v>
      </c>
      <c r="C3" s="186">
        <v>2008</v>
      </c>
      <c r="D3" s="187">
        <v>2009</v>
      </c>
    </row>
    <row r="4" spans="2:15" ht="15.75" x14ac:dyDescent="0.25">
      <c r="B4" s="188" t="s">
        <v>57</v>
      </c>
      <c r="C4" s="189">
        <v>25</v>
      </c>
      <c r="D4" s="190">
        <v>12</v>
      </c>
      <c r="H4" s="158" t="s">
        <v>343</v>
      </c>
    </row>
    <row r="5" spans="2:15" ht="15.75" x14ac:dyDescent="0.25">
      <c r="B5" s="188" t="s">
        <v>64</v>
      </c>
      <c r="C5" s="189">
        <v>35</v>
      </c>
      <c r="D5" s="190">
        <v>28</v>
      </c>
    </row>
    <row r="6" spans="2:15" ht="15.75" x14ac:dyDescent="0.25">
      <c r="B6" s="188" t="s">
        <v>342</v>
      </c>
      <c r="C6" s="189">
        <v>26</v>
      </c>
      <c r="D6" s="190">
        <v>31</v>
      </c>
    </row>
    <row r="7" spans="2:15" ht="16.5" thickBot="1" x14ac:dyDescent="0.3">
      <c r="B7" s="191" t="s">
        <v>61</v>
      </c>
      <c r="C7" s="192">
        <v>19</v>
      </c>
      <c r="D7" s="193">
        <v>28</v>
      </c>
    </row>
    <row r="8" spans="2:15" ht="13.5" thickTop="1" x14ac:dyDescent="0.2"/>
    <row r="12" spans="2:15" x14ac:dyDescent="0.2">
      <c r="H12" s="59" t="s">
        <v>366</v>
      </c>
    </row>
    <row r="16" spans="2:15" x14ac:dyDescent="0.2">
      <c r="O16" s="52" t="s">
        <v>344</v>
      </c>
    </row>
    <row r="22" spans="15:15" x14ac:dyDescent="0.2">
      <c r="O22" s="52" t="s">
        <v>345</v>
      </c>
    </row>
  </sheetData>
  <hyperlinks>
    <hyperlink ref="H4" location="'Learning Outcomes'!A1" display="Back to Learning Outcomes" xr:uid="{00000000-0004-0000-2500-000000000000}"/>
  </hyperlinks>
  <pageMargins left="0.75" right="0.75" top="1" bottom="1" header="0.5" footer="0.5"/>
  <headerFooter alignWithMargins="0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theme="9" tint="-0.249977111117893"/>
  </sheetPr>
  <dimension ref="B3:O22"/>
  <sheetViews>
    <sheetView workbookViewId="0">
      <selection activeCell="B29" sqref="B29"/>
    </sheetView>
  </sheetViews>
  <sheetFormatPr defaultColWidth="9.140625" defaultRowHeight="12.75" x14ac:dyDescent="0.2"/>
  <cols>
    <col min="1" max="1" width="9.140625" style="3"/>
    <col min="2" max="2" width="9.28515625" style="3" bestFit="1" customWidth="1"/>
    <col min="3" max="3" width="13" style="3" bestFit="1" customWidth="1"/>
    <col min="4" max="14" width="9.140625" style="3"/>
    <col min="15" max="15" width="46.140625" style="3" customWidth="1"/>
    <col min="16" max="16384" width="9.140625" style="3"/>
  </cols>
  <sheetData>
    <row r="3" spans="2:15" ht="15" x14ac:dyDescent="0.25">
      <c r="O3" s="158" t="s">
        <v>343</v>
      </c>
    </row>
    <row r="4" spans="2:15" ht="15.75" x14ac:dyDescent="0.25">
      <c r="B4" s="194" t="s">
        <v>49</v>
      </c>
      <c r="C4" s="195" t="s">
        <v>360</v>
      </c>
    </row>
    <row r="5" spans="2:15" ht="15.75" x14ac:dyDescent="0.25">
      <c r="B5" s="196" t="s">
        <v>342</v>
      </c>
      <c r="C5" s="197">
        <v>289</v>
      </c>
    </row>
    <row r="6" spans="2:15" ht="15.75" x14ac:dyDescent="0.25">
      <c r="B6" s="198" t="s">
        <v>61</v>
      </c>
      <c r="C6" s="197">
        <v>218</v>
      </c>
    </row>
    <row r="7" spans="2:15" ht="15.75" x14ac:dyDescent="0.25">
      <c r="B7" s="198" t="s">
        <v>57</v>
      </c>
      <c r="C7" s="197">
        <v>278</v>
      </c>
    </row>
    <row r="8" spans="2:15" ht="15.75" x14ac:dyDescent="0.25">
      <c r="B8" s="198" t="s">
        <v>64</v>
      </c>
      <c r="C8" s="197">
        <v>189</v>
      </c>
    </row>
    <row r="11" spans="2:15" x14ac:dyDescent="0.2">
      <c r="O11" s="59" t="s">
        <v>367</v>
      </c>
    </row>
    <row r="12" spans="2:15" x14ac:dyDescent="0.2">
      <c r="O12" s="59" t="s">
        <v>368</v>
      </c>
    </row>
    <row r="14" spans="2:15" x14ac:dyDescent="0.2">
      <c r="O14" s="59" t="s">
        <v>369</v>
      </c>
    </row>
    <row r="15" spans="2:15" x14ac:dyDescent="0.2">
      <c r="O15" s="59" t="s">
        <v>370</v>
      </c>
    </row>
    <row r="16" spans="2:15" x14ac:dyDescent="0.2">
      <c r="O16" s="3" t="s">
        <v>344</v>
      </c>
    </row>
    <row r="22" spans="15:15" x14ac:dyDescent="0.2">
      <c r="O22" s="3" t="s">
        <v>345</v>
      </c>
    </row>
  </sheetData>
  <hyperlinks>
    <hyperlink ref="O3" location="'Learning Outcomes'!A1" display="Back to Learning Outcomes" xr:uid="{00000000-0004-0000-2600-000000000000}"/>
  </hyperlinks>
  <pageMargins left="0.75" right="0.75" top="1" bottom="1" header="0.5" footer="0.5"/>
  <headerFooter alignWithMargins="0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theme="9" tint="-0.249977111117893"/>
  </sheetPr>
  <dimension ref="B3:O24"/>
  <sheetViews>
    <sheetView workbookViewId="0">
      <selection activeCell="B29" sqref="B29"/>
    </sheetView>
  </sheetViews>
  <sheetFormatPr defaultColWidth="9.140625" defaultRowHeight="12.75" x14ac:dyDescent="0.2"/>
  <cols>
    <col min="1" max="1" width="4.140625" style="3" customWidth="1"/>
    <col min="2" max="2" width="9.28515625" style="3" bestFit="1" customWidth="1"/>
    <col min="3" max="3" width="13" style="3" bestFit="1" customWidth="1"/>
    <col min="4" max="12" width="9.140625" style="3"/>
    <col min="13" max="13" width="29.140625" style="3" customWidth="1"/>
    <col min="14" max="16384" width="9.140625" style="3"/>
  </cols>
  <sheetData>
    <row r="3" spans="2:15" ht="15" x14ac:dyDescent="0.25">
      <c r="M3" s="158" t="s">
        <v>343</v>
      </c>
    </row>
    <row r="4" spans="2:15" ht="15.75" x14ac:dyDescent="0.25">
      <c r="B4" s="194" t="s">
        <v>49</v>
      </c>
      <c r="C4" s="195" t="s">
        <v>360</v>
      </c>
    </row>
    <row r="5" spans="2:15" ht="15.75" x14ac:dyDescent="0.25">
      <c r="B5" s="196" t="s">
        <v>342</v>
      </c>
      <c r="C5" s="197">
        <v>250000</v>
      </c>
    </row>
    <row r="6" spans="2:15" ht="15.75" x14ac:dyDescent="0.25">
      <c r="B6" s="198" t="s">
        <v>61</v>
      </c>
      <c r="C6" s="197">
        <v>100000</v>
      </c>
    </row>
    <row r="7" spans="2:15" ht="15.75" x14ac:dyDescent="0.25">
      <c r="B7" s="198" t="s">
        <v>57</v>
      </c>
      <c r="C7" s="197">
        <v>200843</v>
      </c>
    </row>
    <row r="8" spans="2:15" ht="15.75" x14ac:dyDescent="0.25">
      <c r="B8" s="198" t="s">
        <v>64</v>
      </c>
      <c r="C8" s="197">
        <v>50000</v>
      </c>
    </row>
    <row r="10" spans="2:15" ht="25.5" x14ac:dyDescent="0.2">
      <c r="M10" s="59" t="s">
        <v>371</v>
      </c>
    </row>
    <row r="12" spans="2:15" ht="25.5" x14ac:dyDescent="0.2">
      <c r="M12" s="59" t="s">
        <v>372</v>
      </c>
    </row>
    <row r="16" spans="2:15" x14ac:dyDescent="0.2">
      <c r="O16" s="3" t="s">
        <v>344</v>
      </c>
    </row>
    <row r="22" spans="2:15" x14ac:dyDescent="0.2">
      <c r="O22" s="3" t="s">
        <v>345</v>
      </c>
    </row>
    <row r="24" spans="2:15" ht="18" x14ac:dyDescent="0.25">
      <c r="B24" s="227" t="s">
        <v>373</v>
      </c>
      <c r="C24" s="227"/>
      <c r="D24" s="227"/>
    </row>
  </sheetData>
  <mergeCells count="1">
    <mergeCell ref="B24:D24"/>
  </mergeCells>
  <hyperlinks>
    <hyperlink ref="M3" location="'Learning Outcomes'!A1" display="Back to Learning Outcomes" xr:uid="{00000000-0004-0000-2700-000000000000}"/>
  </hyperlinks>
  <pageMargins left="0.75" right="0.75" top="1" bottom="1" header="0.5" footer="0.5"/>
  <headerFooter alignWithMargins="0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theme="9" tint="-0.249977111117893"/>
  </sheetPr>
  <dimension ref="B3:O22"/>
  <sheetViews>
    <sheetView workbookViewId="0">
      <selection activeCell="B29" sqref="B29"/>
    </sheetView>
  </sheetViews>
  <sheetFormatPr defaultColWidth="9.140625" defaultRowHeight="12.75" x14ac:dyDescent="0.2"/>
  <cols>
    <col min="1" max="1" width="9.140625" style="3"/>
    <col min="2" max="2" width="11.7109375" style="3" bestFit="1" customWidth="1"/>
    <col min="3" max="5" width="21.28515625" style="3" bestFit="1" customWidth="1"/>
    <col min="6" max="7" width="9.140625" style="3"/>
    <col min="8" max="8" width="8.140625" style="3" customWidth="1"/>
    <col min="9" max="9" width="51.85546875" style="3" customWidth="1"/>
    <col min="10" max="16384" width="9.140625" style="3"/>
  </cols>
  <sheetData>
    <row r="3" spans="2:15" ht="18.75" x14ac:dyDescent="0.3">
      <c r="B3" s="199" t="s">
        <v>49</v>
      </c>
      <c r="C3" s="199" t="s">
        <v>374</v>
      </c>
      <c r="D3" s="199" t="s">
        <v>362</v>
      </c>
      <c r="E3" s="199" t="s">
        <v>363</v>
      </c>
      <c r="I3" s="158" t="s">
        <v>343</v>
      </c>
    </row>
    <row r="4" spans="2:15" ht="18" x14ac:dyDescent="0.25">
      <c r="B4" s="200" t="s">
        <v>57</v>
      </c>
      <c r="C4" s="200">
        <v>19</v>
      </c>
      <c r="D4" s="200">
        <v>25</v>
      </c>
      <c r="E4" s="200">
        <v>35</v>
      </c>
    </row>
    <row r="5" spans="2:15" x14ac:dyDescent="0.2">
      <c r="B5" s="4"/>
      <c r="C5" s="4"/>
      <c r="D5" s="201"/>
      <c r="E5" s="201"/>
    </row>
    <row r="11" spans="2:15" ht="25.5" x14ac:dyDescent="0.2">
      <c r="I11" s="59" t="s">
        <v>375</v>
      </c>
    </row>
    <row r="13" spans="2:15" ht="25.5" x14ac:dyDescent="0.2">
      <c r="I13" s="59" t="s">
        <v>376</v>
      </c>
    </row>
    <row r="16" spans="2:15" x14ac:dyDescent="0.2">
      <c r="O16" s="3" t="s">
        <v>344</v>
      </c>
    </row>
    <row r="22" spans="15:15" x14ac:dyDescent="0.2">
      <c r="O22" s="3" t="s">
        <v>345</v>
      </c>
    </row>
  </sheetData>
  <hyperlinks>
    <hyperlink ref="I3" location="'Learning Outcomes'!A1" display="Back to Learning Outcomes" xr:uid="{00000000-0004-0000-2800-000000000000}"/>
  </hyperlinks>
  <pageMargins left="0.75" right="0.75" top="1" bottom="1" header="0.5" footer="0.5"/>
  <headerFooter alignWithMargins="0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theme="9" tint="-0.249977111117893"/>
  </sheetPr>
  <dimension ref="B1:O31"/>
  <sheetViews>
    <sheetView workbookViewId="0">
      <selection activeCell="B29" sqref="B29"/>
    </sheetView>
  </sheetViews>
  <sheetFormatPr defaultColWidth="9.140625" defaultRowHeight="12.75" x14ac:dyDescent="0.2"/>
  <cols>
    <col min="1" max="2" width="9.140625" style="3"/>
    <col min="3" max="4" width="12.140625" style="3" bestFit="1" customWidth="1"/>
    <col min="5" max="14" width="9.140625" style="3"/>
    <col min="15" max="15" width="54.28515625" style="3" customWidth="1"/>
    <col min="16" max="16384" width="9.140625" style="3"/>
  </cols>
  <sheetData>
    <row r="1" spans="2:15" ht="13.5" thickBot="1" x14ac:dyDescent="0.25"/>
    <row r="2" spans="2:15" ht="18" x14ac:dyDescent="0.25">
      <c r="B2" s="202" t="s">
        <v>53</v>
      </c>
      <c r="C2" s="203" t="s">
        <v>3</v>
      </c>
    </row>
    <row r="3" spans="2:15" ht="18" x14ac:dyDescent="0.25">
      <c r="B3" s="204" t="s">
        <v>342</v>
      </c>
      <c r="C3" s="205">
        <v>6</v>
      </c>
      <c r="O3" s="158" t="s">
        <v>343</v>
      </c>
    </row>
    <row r="4" spans="2:15" ht="18" x14ac:dyDescent="0.25">
      <c r="B4" s="204" t="s">
        <v>61</v>
      </c>
      <c r="C4" s="205">
        <v>3</v>
      </c>
    </row>
    <row r="5" spans="2:15" ht="18" x14ac:dyDescent="0.25">
      <c r="B5" s="204" t="s">
        <v>57</v>
      </c>
      <c r="C5" s="205">
        <v>6</v>
      </c>
    </row>
    <row r="6" spans="2:15" ht="18.75" thickBot="1" x14ac:dyDescent="0.3">
      <c r="B6" s="206" t="s">
        <v>64</v>
      </c>
      <c r="C6" s="207">
        <v>4</v>
      </c>
    </row>
    <row r="10" spans="2:15" ht="25.5" x14ac:dyDescent="0.2">
      <c r="O10" s="59" t="s">
        <v>375</v>
      </c>
    </row>
    <row r="12" spans="2:15" ht="25.5" x14ac:dyDescent="0.2">
      <c r="O12" s="59" t="s">
        <v>376</v>
      </c>
    </row>
    <row r="16" spans="2:15" x14ac:dyDescent="0.2">
      <c r="O16" s="3" t="s">
        <v>344</v>
      </c>
    </row>
    <row r="22" spans="3:15" x14ac:dyDescent="0.2">
      <c r="O22" s="3" t="s">
        <v>345</v>
      </c>
    </row>
    <row r="31" spans="3:15" ht="15" x14ac:dyDescent="0.25">
      <c r="C31" s="158"/>
    </row>
  </sheetData>
  <hyperlinks>
    <hyperlink ref="O3" location="'Learning Outcomes'!A1" display="Back to Learning Outcomes" xr:uid="{00000000-0004-0000-2900-000000000000}"/>
  </hyperlinks>
  <pageMargins left="0.75" right="0.75" top="1" bottom="1" header="0.5" footer="0.5"/>
  <pageSetup paperSize="9" orientation="portrait" horizontalDpi="0" verticalDpi="0" r:id="rId1"/>
  <headerFooter alignWithMargins="0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theme="9" tint="-0.249977111117893"/>
  </sheetPr>
  <dimension ref="B1:O22"/>
  <sheetViews>
    <sheetView workbookViewId="0">
      <selection activeCell="B29" sqref="B29"/>
    </sheetView>
  </sheetViews>
  <sheetFormatPr defaultColWidth="9.140625" defaultRowHeight="12.75" x14ac:dyDescent="0.2"/>
  <cols>
    <col min="1" max="2" width="9.140625" style="3"/>
    <col min="3" max="4" width="12.140625" style="3" bestFit="1" customWidth="1"/>
    <col min="5" max="14" width="9.140625" style="3"/>
    <col min="15" max="15" width="55" style="3" bestFit="1" customWidth="1"/>
    <col min="16" max="16384" width="9.140625" style="3"/>
  </cols>
  <sheetData>
    <row r="1" spans="2:15" ht="13.5" thickBot="1" x14ac:dyDescent="0.25"/>
    <row r="2" spans="2:15" ht="18" x14ac:dyDescent="0.25">
      <c r="B2" s="202" t="s">
        <v>53</v>
      </c>
      <c r="C2" s="203" t="s">
        <v>3</v>
      </c>
    </row>
    <row r="3" spans="2:15" ht="18" x14ac:dyDescent="0.25">
      <c r="B3" s="204" t="s">
        <v>342</v>
      </c>
      <c r="C3" s="205">
        <v>6</v>
      </c>
      <c r="O3" s="158" t="s">
        <v>343</v>
      </c>
    </row>
    <row r="4" spans="2:15" ht="18" x14ac:dyDescent="0.25">
      <c r="B4" s="204" t="s">
        <v>61</v>
      </c>
      <c r="C4" s="205">
        <v>3</v>
      </c>
    </row>
    <row r="5" spans="2:15" ht="18" x14ac:dyDescent="0.25">
      <c r="B5" s="204" t="s">
        <v>57</v>
      </c>
      <c r="C5" s="205">
        <v>6</v>
      </c>
    </row>
    <row r="6" spans="2:15" ht="18.75" thickBot="1" x14ac:dyDescent="0.3">
      <c r="B6" s="206" t="s">
        <v>64</v>
      </c>
      <c r="C6" s="207">
        <v>4</v>
      </c>
    </row>
    <row r="10" spans="2:15" x14ac:dyDescent="0.2">
      <c r="O10" s="59" t="s">
        <v>377</v>
      </c>
    </row>
    <row r="12" spans="2:15" ht="25.5" x14ac:dyDescent="0.2">
      <c r="O12" s="59" t="s">
        <v>378</v>
      </c>
    </row>
    <row r="16" spans="2:15" x14ac:dyDescent="0.2">
      <c r="O16" s="3" t="s">
        <v>344</v>
      </c>
    </row>
    <row r="22" spans="15:15" x14ac:dyDescent="0.2">
      <c r="O22" s="3" t="s">
        <v>345</v>
      </c>
    </row>
  </sheetData>
  <hyperlinks>
    <hyperlink ref="O3" location="'Learning Outcomes'!A1" display="Back to Learning Outcomes" xr:uid="{00000000-0004-0000-2A00-000000000000}"/>
  </hyperlinks>
  <pageMargins left="0.75" right="0.75" top="1" bottom="1" header="0.5" footer="0.5"/>
  <pageSetup paperSize="9" orientation="portrait" horizontalDpi="0" verticalDpi="0" r:id="rId1"/>
  <headerFooter alignWithMargins="0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theme="9" tint="-0.249977111117893"/>
  </sheetPr>
  <dimension ref="B1:O22"/>
  <sheetViews>
    <sheetView workbookViewId="0">
      <selection activeCell="B29" sqref="B29"/>
    </sheetView>
  </sheetViews>
  <sheetFormatPr defaultColWidth="9.140625" defaultRowHeight="12.75" x14ac:dyDescent="0.2"/>
  <cols>
    <col min="1" max="2" width="9.140625" style="3"/>
    <col min="3" max="4" width="12.140625" style="3" bestFit="1" customWidth="1"/>
    <col min="5" max="14" width="9.140625" style="3"/>
    <col min="15" max="15" width="45" style="3" bestFit="1" customWidth="1"/>
    <col min="16" max="16384" width="9.140625" style="3"/>
  </cols>
  <sheetData>
    <row r="1" spans="2:15" ht="13.5" thickBot="1" x14ac:dyDescent="0.25"/>
    <row r="2" spans="2:15" ht="18" x14ac:dyDescent="0.25">
      <c r="B2" s="202" t="s">
        <v>53</v>
      </c>
      <c r="C2" s="203" t="s">
        <v>3</v>
      </c>
    </row>
    <row r="3" spans="2:15" ht="18" x14ac:dyDescent="0.25">
      <c r="B3" s="204" t="s">
        <v>342</v>
      </c>
      <c r="C3" s="205">
        <v>6</v>
      </c>
      <c r="O3" s="158" t="s">
        <v>343</v>
      </c>
    </row>
    <row r="4" spans="2:15" ht="18" x14ac:dyDescent="0.25">
      <c r="B4" s="204" t="s">
        <v>61</v>
      </c>
      <c r="C4" s="205">
        <v>3</v>
      </c>
    </row>
    <row r="5" spans="2:15" ht="18" x14ac:dyDescent="0.25">
      <c r="B5" s="204" t="s">
        <v>57</v>
      </c>
      <c r="C5" s="205">
        <v>6</v>
      </c>
    </row>
    <row r="6" spans="2:15" ht="18.75" thickBot="1" x14ac:dyDescent="0.3">
      <c r="B6" s="206" t="s">
        <v>64</v>
      </c>
      <c r="C6" s="207">
        <v>4</v>
      </c>
    </row>
    <row r="7" spans="2:15" ht="25.5" x14ac:dyDescent="0.2">
      <c r="O7" s="59" t="s">
        <v>379</v>
      </c>
    </row>
    <row r="9" spans="2:15" ht="25.5" x14ac:dyDescent="0.2">
      <c r="O9" s="59" t="s">
        <v>380</v>
      </c>
    </row>
    <row r="16" spans="2:15" x14ac:dyDescent="0.2">
      <c r="O16" s="3" t="s">
        <v>344</v>
      </c>
    </row>
    <row r="22" spans="15:15" x14ac:dyDescent="0.2">
      <c r="O22" s="3" t="s">
        <v>345</v>
      </c>
    </row>
  </sheetData>
  <hyperlinks>
    <hyperlink ref="O3" location="'Learning Outcomes'!A1" display="Back to Learning Outcomes" xr:uid="{00000000-0004-0000-2B00-000000000000}"/>
  </hyperlinks>
  <pageMargins left="0.75" right="0.75" top="1" bottom="1" header="0.5" footer="0.5"/>
  <pageSetup paperSize="9" orientation="portrait" horizontalDpi="0" verticalDpi="0" r:id="rId1"/>
  <headerFooter alignWithMargins="0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EEB5F-ABE2-4A66-A95C-C70455C179E6}">
  <dimension ref="A3:D8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26.85546875" bestFit="1" customWidth="1"/>
    <col min="3" max="3" width="29.42578125" bestFit="1" customWidth="1"/>
    <col min="4" max="4" width="17.5703125" bestFit="1" customWidth="1"/>
  </cols>
  <sheetData>
    <row r="3" spans="1:4" x14ac:dyDescent="0.25">
      <c r="A3" s="229" t="s">
        <v>404</v>
      </c>
      <c r="B3" t="s">
        <v>405</v>
      </c>
      <c r="C3" t="s">
        <v>406</v>
      </c>
      <c r="D3" t="s">
        <v>402</v>
      </c>
    </row>
    <row r="4" spans="1:4" x14ac:dyDescent="0.25">
      <c r="A4" s="230" t="s">
        <v>392</v>
      </c>
      <c r="B4" s="231">
        <v>2000</v>
      </c>
      <c r="C4" s="231">
        <v>10</v>
      </c>
      <c r="D4" s="231">
        <v>5250</v>
      </c>
    </row>
    <row r="5" spans="1:4" x14ac:dyDescent="0.25">
      <c r="A5" s="230" t="s">
        <v>390</v>
      </c>
      <c r="B5" s="231">
        <v>1850</v>
      </c>
      <c r="C5" s="231">
        <v>5</v>
      </c>
      <c r="D5" s="231">
        <v>2300</v>
      </c>
    </row>
    <row r="6" spans="1:4" x14ac:dyDescent="0.25">
      <c r="A6" s="230" t="s">
        <v>394</v>
      </c>
      <c r="B6" s="231">
        <v>2150</v>
      </c>
      <c r="C6" s="231">
        <v>8</v>
      </c>
      <c r="D6" s="231">
        <v>4450</v>
      </c>
    </row>
    <row r="7" spans="1:4" x14ac:dyDescent="0.25">
      <c r="A7" s="230" t="s">
        <v>396</v>
      </c>
      <c r="B7" s="231">
        <v>950</v>
      </c>
      <c r="C7" s="231">
        <v>4</v>
      </c>
      <c r="D7" s="231">
        <v>1900</v>
      </c>
    </row>
    <row r="8" spans="1:4" x14ac:dyDescent="0.25">
      <c r="A8" s="230" t="s">
        <v>403</v>
      </c>
      <c r="B8" s="231">
        <v>6950</v>
      </c>
      <c r="C8" s="231">
        <v>27</v>
      </c>
      <c r="D8" s="231">
        <v>13900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5D8D4-3050-4481-B914-78A0DB5809C5}">
  <dimension ref="A1:D9"/>
  <sheetViews>
    <sheetView tabSelected="1" workbookViewId="0">
      <selection activeCell="B1" sqref="B1"/>
    </sheetView>
  </sheetViews>
  <sheetFormatPr defaultRowHeight="15" x14ac:dyDescent="0.25"/>
  <cols>
    <col min="1" max="1" width="20" bestFit="1" customWidth="1"/>
    <col min="2" max="2" width="16.28515625" bestFit="1" customWidth="1"/>
    <col min="3" max="3" width="7" bestFit="1" customWidth="1"/>
    <col min="4" max="4" width="11.28515625" bestFit="1" customWidth="1"/>
    <col min="5" max="5" width="5" bestFit="1" customWidth="1"/>
    <col min="6" max="6" width="11.28515625" bestFit="1" customWidth="1"/>
  </cols>
  <sheetData>
    <row r="1" spans="1:4" x14ac:dyDescent="0.25">
      <c r="A1" s="229" t="s">
        <v>384</v>
      </c>
      <c r="B1" s="230">
        <v>600</v>
      </c>
    </row>
    <row r="3" spans="1:4" x14ac:dyDescent="0.25">
      <c r="A3" s="229" t="s">
        <v>402</v>
      </c>
      <c r="B3" s="229" t="s">
        <v>407</v>
      </c>
    </row>
    <row r="4" spans="1:4" x14ac:dyDescent="0.25">
      <c r="A4" s="229" t="s">
        <v>404</v>
      </c>
      <c r="B4" t="s">
        <v>392</v>
      </c>
      <c r="C4" t="s">
        <v>394</v>
      </c>
      <c r="D4" t="s">
        <v>403</v>
      </c>
    </row>
    <row r="5" spans="1:4" x14ac:dyDescent="0.25">
      <c r="A5" s="230" t="s">
        <v>399</v>
      </c>
      <c r="B5" s="231">
        <v>2400</v>
      </c>
      <c r="C5" s="231">
        <v>3000</v>
      </c>
      <c r="D5" s="231">
        <v>5400</v>
      </c>
    </row>
    <row r="6" spans="1:4" x14ac:dyDescent="0.25">
      <c r="A6" s="232" t="s">
        <v>395</v>
      </c>
      <c r="B6" s="231"/>
      <c r="C6" s="231">
        <v>2400</v>
      </c>
      <c r="D6" s="231">
        <v>2400</v>
      </c>
    </row>
    <row r="7" spans="1:4" x14ac:dyDescent="0.25">
      <c r="A7" s="232" t="s">
        <v>391</v>
      </c>
      <c r="B7" s="231">
        <v>2400</v>
      </c>
      <c r="C7" s="231"/>
      <c r="D7" s="231">
        <v>2400</v>
      </c>
    </row>
    <row r="8" spans="1:4" x14ac:dyDescent="0.25">
      <c r="A8" s="232" t="s">
        <v>389</v>
      </c>
      <c r="B8" s="231"/>
      <c r="C8" s="231">
        <v>600</v>
      </c>
      <c r="D8" s="231">
        <v>600</v>
      </c>
    </row>
    <row r="9" spans="1:4" x14ac:dyDescent="0.25">
      <c r="A9" s="230" t="s">
        <v>403</v>
      </c>
      <c r="B9" s="231">
        <v>2400</v>
      </c>
      <c r="C9" s="231">
        <v>3000</v>
      </c>
      <c r="D9" s="231">
        <v>5400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J17"/>
  <sheetViews>
    <sheetView workbookViewId="0">
      <selection activeCell="A3" sqref="A3:G17"/>
    </sheetView>
  </sheetViews>
  <sheetFormatPr defaultColWidth="9.140625" defaultRowHeight="12" x14ac:dyDescent="0.2"/>
  <cols>
    <col min="1" max="1" width="13.85546875" style="208" customWidth="1"/>
    <col min="2" max="2" width="17.7109375" style="208" customWidth="1"/>
    <col min="3" max="3" width="9.7109375" style="208" customWidth="1"/>
    <col min="4" max="4" width="10.7109375" style="208" customWidth="1"/>
    <col min="5" max="5" width="9.42578125" style="208" customWidth="1"/>
    <col min="6" max="6" width="18.28515625" style="208" customWidth="1"/>
    <col min="7" max="7" width="8.5703125" style="208" customWidth="1"/>
    <col min="8" max="16384" width="9.140625" style="208"/>
  </cols>
  <sheetData>
    <row r="1" spans="1:10" ht="18" x14ac:dyDescent="0.25">
      <c r="A1" s="228" t="s">
        <v>381</v>
      </c>
      <c r="B1" s="228"/>
    </row>
    <row r="3" spans="1:10" s="210" customFormat="1" ht="36" x14ac:dyDescent="0.2">
      <c r="A3" s="211" t="s">
        <v>382</v>
      </c>
      <c r="B3" s="211" t="s">
        <v>383</v>
      </c>
      <c r="C3" s="211" t="s">
        <v>384</v>
      </c>
      <c r="D3" s="211" t="s">
        <v>385</v>
      </c>
      <c r="E3" s="211" t="s">
        <v>386</v>
      </c>
      <c r="F3" s="211" t="s">
        <v>51</v>
      </c>
      <c r="G3" s="211" t="s">
        <v>387</v>
      </c>
      <c r="J3" s="210" t="s">
        <v>143</v>
      </c>
    </row>
    <row r="4" spans="1:10" x14ac:dyDescent="0.2">
      <c r="A4" s="209">
        <v>10847</v>
      </c>
      <c r="B4" s="209" t="s">
        <v>388</v>
      </c>
      <c r="C4" s="209">
        <v>500</v>
      </c>
      <c r="D4" s="209">
        <v>1</v>
      </c>
      <c r="E4" s="209">
        <f t="shared" ref="E4:E17" si="0">C4*D4</f>
        <v>500</v>
      </c>
      <c r="F4" s="209" t="s">
        <v>389</v>
      </c>
      <c r="G4" s="209" t="s">
        <v>390</v>
      </c>
    </row>
    <row r="5" spans="1:10" x14ac:dyDescent="0.2">
      <c r="A5" s="209">
        <v>10848</v>
      </c>
      <c r="B5" s="209" t="s">
        <v>388</v>
      </c>
      <c r="C5" s="209">
        <v>500</v>
      </c>
      <c r="D5" s="209">
        <v>3</v>
      </c>
      <c r="E5" s="209">
        <f t="shared" si="0"/>
        <v>1500</v>
      </c>
      <c r="F5" s="209" t="s">
        <v>391</v>
      </c>
      <c r="G5" s="209" t="s">
        <v>392</v>
      </c>
    </row>
    <row r="6" spans="1:10" x14ac:dyDescent="0.2">
      <c r="A6" s="209">
        <v>10849</v>
      </c>
      <c r="B6" s="209" t="s">
        <v>388</v>
      </c>
      <c r="C6" s="209">
        <v>500</v>
      </c>
      <c r="D6" s="209">
        <v>2</v>
      </c>
      <c r="E6" s="209">
        <f t="shared" si="0"/>
        <v>1000</v>
      </c>
      <c r="F6" s="209" t="s">
        <v>393</v>
      </c>
      <c r="G6" s="209" t="s">
        <v>394</v>
      </c>
    </row>
    <row r="7" spans="1:10" x14ac:dyDescent="0.2">
      <c r="A7" s="209">
        <v>10850</v>
      </c>
      <c r="B7" s="209" t="s">
        <v>388</v>
      </c>
      <c r="C7" s="209">
        <v>500</v>
      </c>
      <c r="D7" s="209">
        <v>2</v>
      </c>
      <c r="E7" s="209">
        <f t="shared" si="0"/>
        <v>1000</v>
      </c>
      <c r="F7" s="209" t="s">
        <v>395</v>
      </c>
      <c r="G7" s="209" t="s">
        <v>396</v>
      </c>
    </row>
    <row r="8" spans="1:10" x14ac:dyDescent="0.2">
      <c r="A8" s="209">
        <v>10851</v>
      </c>
      <c r="B8" s="209" t="s">
        <v>397</v>
      </c>
      <c r="C8" s="209">
        <v>450</v>
      </c>
      <c r="D8" s="209">
        <v>1</v>
      </c>
      <c r="E8" s="209">
        <f t="shared" si="0"/>
        <v>450</v>
      </c>
      <c r="F8" s="209" t="s">
        <v>391</v>
      </c>
      <c r="G8" s="209" t="s">
        <v>390</v>
      </c>
    </row>
    <row r="9" spans="1:10" x14ac:dyDescent="0.2">
      <c r="A9" s="209">
        <v>10852</v>
      </c>
      <c r="B9" s="209" t="s">
        <v>398</v>
      </c>
      <c r="C9" s="209">
        <v>450</v>
      </c>
      <c r="D9" s="209">
        <v>1</v>
      </c>
      <c r="E9" s="209">
        <f t="shared" si="0"/>
        <v>450</v>
      </c>
      <c r="F9" s="209" t="s">
        <v>393</v>
      </c>
      <c r="G9" s="209" t="s">
        <v>394</v>
      </c>
    </row>
    <row r="10" spans="1:10" x14ac:dyDescent="0.2">
      <c r="A10" s="209">
        <v>10853</v>
      </c>
      <c r="B10" s="209" t="s">
        <v>397</v>
      </c>
      <c r="C10" s="209">
        <v>450</v>
      </c>
      <c r="D10" s="209">
        <v>2</v>
      </c>
      <c r="E10" s="209">
        <f t="shared" si="0"/>
        <v>900</v>
      </c>
      <c r="F10" s="209" t="s">
        <v>395</v>
      </c>
      <c r="G10" s="209" t="s">
        <v>396</v>
      </c>
    </row>
    <row r="11" spans="1:10" x14ac:dyDescent="0.2">
      <c r="A11" s="209">
        <v>10854</v>
      </c>
      <c r="B11" s="209" t="s">
        <v>399</v>
      </c>
      <c r="C11" s="209">
        <v>600</v>
      </c>
      <c r="D11" s="209">
        <v>4</v>
      </c>
      <c r="E11" s="209">
        <f t="shared" si="0"/>
        <v>2400</v>
      </c>
      <c r="F11" s="209" t="s">
        <v>391</v>
      </c>
      <c r="G11" s="209" t="s">
        <v>392</v>
      </c>
    </row>
    <row r="12" spans="1:10" x14ac:dyDescent="0.2">
      <c r="A12" s="209">
        <v>10855</v>
      </c>
      <c r="B12" s="209" t="s">
        <v>398</v>
      </c>
      <c r="C12" s="209">
        <v>450</v>
      </c>
      <c r="D12" s="209">
        <v>1</v>
      </c>
      <c r="E12" s="209">
        <f t="shared" si="0"/>
        <v>450</v>
      </c>
      <c r="F12" s="209" t="s">
        <v>393</v>
      </c>
      <c r="G12" s="209" t="s">
        <v>390</v>
      </c>
    </row>
    <row r="13" spans="1:10" x14ac:dyDescent="0.2">
      <c r="A13" s="209">
        <v>10856</v>
      </c>
      <c r="B13" s="209" t="s">
        <v>397</v>
      </c>
      <c r="C13" s="209">
        <v>450</v>
      </c>
      <c r="D13" s="209">
        <v>1</v>
      </c>
      <c r="E13" s="209">
        <f t="shared" si="0"/>
        <v>450</v>
      </c>
      <c r="F13" s="209" t="s">
        <v>391</v>
      </c>
      <c r="G13" s="209" t="s">
        <v>392</v>
      </c>
    </row>
    <row r="14" spans="1:10" x14ac:dyDescent="0.2">
      <c r="A14" s="209">
        <v>10857</v>
      </c>
      <c r="B14" s="209" t="s">
        <v>399</v>
      </c>
      <c r="C14" s="209">
        <v>600</v>
      </c>
      <c r="D14" s="209">
        <v>4</v>
      </c>
      <c r="E14" s="209">
        <f t="shared" si="0"/>
        <v>2400</v>
      </c>
      <c r="F14" s="209" t="s">
        <v>395</v>
      </c>
      <c r="G14" s="209" t="s">
        <v>394</v>
      </c>
    </row>
    <row r="15" spans="1:10" x14ac:dyDescent="0.2">
      <c r="A15" s="209">
        <v>10858</v>
      </c>
      <c r="B15" s="209" t="s">
        <v>397</v>
      </c>
      <c r="C15" s="209">
        <v>450</v>
      </c>
      <c r="D15" s="209">
        <v>2</v>
      </c>
      <c r="E15" s="209">
        <f t="shared" si="0"/>
        <v>900</v>
      </c>
      <c r="F15" s="209" t="s">
        <v>400</v>
      </c>
      <c r="G15" s="209" t="s">
        <v>390</v>
      </c>
    </row>
    <row r="16" spans="1:10" x14ac:dyDescent="0.2">
      <c r="A16" s="209">
        <v>10859</v>
      </c>
      <c r="B16" s="209" t="s">
        <v>399</v>
      </c>
      <c r="C16" s="209">
        <v>600</v>
      </c>
      <c r="D16" s="209">
        <v>1</v>
      </c>
      <c r="E16" s="209">
        <f t="shared" si="0"/>
        <v>600</v>
      </c>
      <c r="F16" s="209" t="s">
        <v>389</v>
      </c>
      <c r="G16" s="209" t="s">
        <v>394</v>
      </c>
    </row>
    <row r="17" spans="1:7" x14ac:dyDescent="0.2">
      <c r="A17" s="209">
        <v>10860</v>
      </c>
      <c r="B17" s="209" t="s">
        <v>398</v>
      </c>
      <c r="C17" s="209">
        <v>450</v>
      </c>
      <c r="D17" s="209">
        <v>2</v>
      </c>
      <c r="E17" s="209">
        <f t="shared" si="0"/>
        <v>900</v>
      </c>
      <c r="F17" s="209" t="s">
        <v>395</v>
      </c>
      <c r="G17" s="209" t="s">
        <v>392</v>
      </c>
    </row>
  </sheetData>
  <mergeCells count="1">
    <mergeCell ref="A1:B1"/>
  </mergeCells>
  <pageMargins left="0.75" right="0.75" top="1" bottom="1" header="0.5" footer="0.5"/>
  <pageSetup paperSize="9" orientation="portrait" horizontalDpi="0" verticalDpi="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FFC000"/>
  </sheetPr>
  <dimension ref="A1:G17"/>
  <sheetViews>
    <sheetView workbookViewId="0">
      <selection activeCell="C26" sqref="C26"/>
    </sheetView>
  </sheetViews>
  <sheetFormatPr defaultColWidth="9.140625" defaultRowHeight="12" x14ac:dyDescent="0.2"/>
  <cols>
    <col min="1" max="1" width="13.85546875" style="208" customWidth="1"/>
    <col min="2" max="2" width="17.7109375" style="208" customWidth="1"/>
    <col min="3" max="3" width="9.7109375" style="208" customWidth="1"/>
    <col min="4" max="4" width="10.7109375" style="208" customWidth="1"/>
    <col min="5" max="5" width="9.42578125" style="208" customWidth="1"/>
    <col min="6" max="6" width="18.28515625" style="208" customWidth="1"/>
    <col min="7" max="7" width="8.5703125" style="208" customWidth="1"/>
    <col min="8" max="16384" width="9.140625" style="208"/>
  </cols>
  <sheetData>
    <row r="1" spans="1:7" ht="18" x14ac:dyDescent="0.25">
      <c r="A1" s="212" t="s">
        <v>401</v>
      </c>
    </row>
    <row r="3" spans="1:7" s="210" customFormat="1" ht="36" x14ac:dyDescent="0.2">
      <c r="A3" s="211" t="s">
        <v>382</v>
      </c>
      <c r="B3" s="211" t="s">
        <v>383</v>
      </c>
      <c r="C3" s="211" t="s">
        <v>384</v>
      </c>
      <c r="D3" s="211" t="s">
        <v>385</v>
      </c>
      <c r="E3" s="211" t="s">
        <v>386</v>
      </c>
      <c r="F3" s="211" t="s">
        <v>51</v>
      </c>
      <c r="G3" s="211" t="s">
        <v>387</v>
      </c>
    </row>
    <row r="4" spans="1:7" x14ac:dyDescent="0.2">
      <c r="A4" s="209">
        <v>10847</v>
      </c>
      <c r="B4" s="209" t="s">
        <v>388</v>
      </c>
      <c r="C4" s="209">
        <v>500</v>
      </c>
      <c r="D4" s="209">
        <v>10</v>
      </c>
      <c r="E4" s="209">
        <f t="shared" ref="E4:E17" si="0">C4*D4</f>
        <v>5000</v>
      </c>
      <c r="F4" s="209" t="s">
        <v>389</v>
      </c>
      <c r="G4" s="209" t="s">
        <v>390</v>
      </c>
    </row>
    <row r="5" spans="1:7" x14ac:dyDescent="0.2">
      <c r="A5" s="209">
        <v>10848</v>
      </c>
      <c r="B5" s="209" t="s">
        <v>388</v>
      </c>
      <c r="C5" s="209">
        <v>500</v>
      </c>
      <c r="D5" s="209">
        <v>3</v>
      </c>
      <c r="E5" s="209">
        <f t="shared" si="0"/>
        <v>1500</v>
      </c>
      <c r="F5" s="209" t="s">
        <v>391</v>
      </c>
      <c r="G5" s="209" t="s">
        <v>392</v>
      </c>
    </row>
    <row r="6" spans="1:7" x14ac:dyDescent="0.2">
      <c r="A6" s="209">
        <v>10849</v>
      </c>
      <c r="B6" s="209" t="s">
        <v>388</v>
      </c>
      <c r="C6" s="209">
        <v>500</v>
      </c>
      <c r="D6" s="209">
        <v>2</v>
      </c>
      <c r="E6" s="209">
        <f t="shared" si="0"/>
        <v>1000</v>
      </c>
      <c r="F6" s="209" t="s">
        <v>393</v>
      </c>
      <c r="G6" s="209" t="s">
        <v>394</v>
      </c>
    </row>
    <row r="7" spans="1:7" x14ac:dyDescent="0.2">
      <c r="A7" s="209">
        <v>10850</v>
      </c>
      <c r="B7" s="209" t="s">
        <v>388</v>
      </c>
      <c r="C7" s="209">
        <v>500</v>
      </c>
      <c r="D7" s="209">
        <v>2</v>
      </c>
      <c r="E7" s="209">
        <f t="shared" si="0"/>
        <v>1000</v>
      </c>
      <c r="F7" s="209" t="s">
        <v>395</v>
      </c>
      <c r="G7" s="209" t="s">
        <v>396</v>
      </c>
    </row>
    <row r="8" spans="1:7" x14ac:dyDescent="0.2">
      <c r="A8" s="209">
        <v>10851</v>
      </c>
      <c r="B8" s="209" t="s">
        <v>397</v>
      </c>
      <c r="C8" s="209">
        <v>450</v>
      </c>
      <c r="D8" s="209">
        <v>1</v>
      </c>
      <c r="E8" s="209">
        <f t="shared" si="0"/>
        <v>450</v>
      </c>
      <c r="F8" s="209" t="s">
        <v>391</v>
      </c>
      <c r="G8" s="209" t="s">
        <v>390</v>
      </c>
    </row>
    <row r="9" spans="1:7" x14ac:dyDescent="0.2">
      <c r="A9" s="209">
        <v>10852</v>
      </c>
      <c r="B9" s="209" t="s">
        <v>398</v>
      </c>
      <c r="C9" s="209">
        <v>450</v>
      </c>
      <c r="D9" s="209">
        <v>1</v>
      </c>
      <c r="E9" s="209">
        <f t="shared" si="0"/>
        <v>450</v>
      </c>
      <c r="F9" s="209" t="s">
        <v>393</v>
      </c>
      <c r="G9" s="209" t="s">
        <v>394</v>
      </c>
    </row>
    <row r="10" spans="1:7" x14ac:dyDescent="0.2">
      <c r="A10" s="209">
        <v>10853</v>
      </c>
      <c r="B10" s="209" t="s">
        <v>397</v>
      </c>
      <c r="C10" s="209">
        <v>450</v>
      </c>
      <c r="D10" s="209">
        <v>2</v>
      </c>
      <c r="E10" s="209">
        <f t="shared" si="0"/>
        <v>900</v>
      </c>
      <c r="F10" s="209" t="s">
        <v>395</v>
      </c>
      <c r="G10" s="209" t="s">
        <v>396</v>
      </c>
    </row>
    <row r="11" spans="1:7" x14ac:dyDescent="0.2">
      <c r="A11" s="209">
        <v>10854</v>
      </c>
      <c r="B11" s="209" t="s">
        <v>399</v>
      </c>
      <c r="C11" s="209">
        <v>600</v>
      </c>
      <c r="D11" s="209">
        <v>4</v>
      </c>
      <c r="E11" s="209">
        <f t="shared" si="0"/>
        <v>2400</v>
      </c>
      <c r="F11" s="209" t="s">
        <v>391</v>
      </c>
      <c r="G11" s="209" t="s">
        <v>392</v>
      </c>
    </row>
    <row r="12" spans="1:7" x14ac:dyDescent="0.2">
      <c r="A12" s="209">
        <v>10855</v>
      </c>
      <c r="B12" s="209" t="s">
        <v>398</v>
      </c>
      <c r="C12" s="209">
        <v>450</v>
      </c>
      <c r="D12" s="209">
        <v>1</v>
      </c>
      <c r="E12" s="209">
        <f t="shared" si="0"/>
        <v>450</v>
      </c>
      <c r="F12" s="209" t="s">
        <v>393</v>
      </c>
      <c r="G12" s="209" t="s">
        <v>390</v>
      </c>
    </row>
    <row r="13" spans="1:7" x14ac:dyDescent="0.2">
      <c r="A13" s="209">
        <v>10856</v>
      </c>
      <c r="B13" s="209" t="s">
        <v>397</v>
      </c>
      <c r="C13" s="209">
        <v>450</v>
      </c>
      <c r="D13" s="209">
        <v>1</v>
      </c>
      <c r="E13" s="209">
        <f t="shared" si="0"/>
        <v>450</v>
      </c>
      <c r="F13" s="209" t="s">
        <v>391</v>
      </c>
      <c r="G13" s="209" t="s">
        <v>392</v>
      </c>
    </row>
    <row r="14" spans="1:7" x14ac:dyDescent="0.2">
      <c r="A14" s="209">
        <v>10857</v>
      </c>
      <c r="B14" s="209" t="s">
        <v>399</v>
      </c>
      <c r="C14" s="209">
        <v>600</v>
      </c>
      <c r="D14" s="209">
        <v>4</v>
      </c>
      <c r="E14" s="209">
        <f t="shared" si="0"/>
        <v>2400</v>
      </c>
      <c r="F14" s="209" t="s">
        <v>395</v>
      </c>
      <c r="G14" s="209" t="s">
        <v>394</v>
      </c>
    </row>
    <row r="15" spans="1:7" x14ac:dyDescent="0.2">
      <c r="A15" s="209">
        <v>10858</v>
      </c>
      <c r="B15" s="209" t="s">
        <v>397</v>
      </c>
      <c r="C15" s="209">
        <v>450</v>
      </c>
      <c r="D15" s="209">
        <v>2</v>
      </c>
      <c r="E15" s="209">
        <f t="shared" si="0"/>
        <v>900</v>
      </c>
      <c r="F15" s="209" t="s">
        <v>400</v>
      </c>
      <c r="G15" s="209" t="s">
        <v>390</v>
      </c>
    </row>
    <row r="16" spans="1:7" x14ac:dyDescent="0.2">
      <c r="A16" s="209">
        <v>10859</v>
      </c>
      <c r="B16" s="209" t="s">
        <v>399</v>
      </c>
      <c r="C16" s="209">
        <v>600</v>
      </c>
      <c r="D16" s="209">
        <v>1</v>
      </c>
      <c r="E16" s="209">
        <f t="shared" si="0"/>
        <v>600</v>
      </c>
      <c r="F16" s="209" t="s">
        <v>389</v>
      </c>
      <c r="G16" s="209" t="s">
        <v>394</v>
      </c>
    </row>
    <row r="17" spans="1:7" x14ac:dyDescent="0.2">
      <c r="A17" s="209">
        <v>10860</v>
      </c>
      <c r="B17" s="209" t="s">
        <v>398</v>
      </c>
      <c r="C17" s="209">
        <v>450</v>
      </c>
      <c r="D17" s="209">
        <v>2</v>
      </c>
      <c r="E17" s="209">
        <f t="shared" si="0"/>
        <v>900</v>
      </c>
      <c r="F17" s="209" t="s">
        <v>395</v>
      </c>
      <c r="G17" s="209" t="s">
        <v>392</v>
      </c>
    </row>
  </sheetData>
  <pageMargins left="0.75" right="0.75" top="1" bottom="1" header="0.5" footer="0.5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FFC000"/>
  </sheetPr>
  <dimension ref="A3:G19"/>
  <sheetViews>
    <sheetView workbookViewId="0">
      <selection activeCell="C26" sqref="C26"/>
    </sheetView>
  </sheetViews>
  <sheetFormatPr defaultColWidth="9.140625" defaultRowHeight="12.75" x14ac:dyDescent="0.2"/>
  <cols>
    <col min="1" max="1" width="17.5703125" style="114" bestFit="1" customWidth="1"/>
    <col min="2" max="6" width="14.140625" style="114" bestFit="1" customWidth="1"/>
    <col min="7" max="7" width="11.140625" style="114" bestFit="1" customWidth="1"/>
    <col min="8" max="16384" width="9.140625" style="114"/>
  </cols>
  <sheetData>
    <row r="3" spans="1:7" ht="15" x14ac:dyDescent="0.25">
      <c r="A3" s="221" t="s">
        <v>402</v>
      </c>
      <c r="B3" s="221" t="s">
        <v>51</v>
      </c>
      <c r="C3" s="223"/>
      <c r="D3" s="223"/>
      <c r="E3" s="223"/>
      <c r="F3" s="223"/>
      <c r="G3" s="222"/>
    </row>
    <row r="4" spans="1:7" ht="15" x14ac:dyDescent="0.25">
      <c r="A4" s="221" t="s">
        <v>387</v>
      </c>
      <c r="B4" s="220" t="s">
        <v>395</v>
      </c>
      <c r="C4" s="219" t="s">
        <v>393</v>
      </c>
      <c r="D4" s="219" t="s">
        <v>400</v>
      </c>
      <c r="E4" s="219" t="s">
        <v>391</v>
      </c>
      <c r="F4" s="219" t="s">
        <v>389</v>
      </c>
      <c r="G4" s="218" t="s">
        <v>403</v>
      </c>
    </row>
    <row r="5" spans="1:7" ht="15" x14ac:dyDescent="0.25">
      <c r="A5" s="220" t="s">
        <v>392</v>
      </c>
      <c r="B5" s="220">
        <v>900</v>
      </c>
      <c r="C5" s="219"/>
      <c r="D5" s="219"/>
      <c r="E5" s="219">
        <v>4350</v>
      </c>
      <c r="F5" s="219"/>
      <c r="G5" s="218">
        <v>5250</v>
      </c>
    </row>
    <row r="6" spans="1:7" ht="15" x14ac:dyDescent="0.25">
      <c r="A6" s="217" t="s">
        <v>390</v>
      </c>
      <c r="B6" s="217"/>
      <c r="C6">
        <v>450</v>
      </c>
      <c r="D6">
        <v>900</v>
      </c>
      <c r="E6">
        <v>450</v>
      </c>
      <c r="F6">
        <v>5000</v>
      </c>
      <c r="G6" s="216">
        <v>6800</v>
      </c>
    </row>
    <row r="7" spans="1:7" ht="15" x14ac:dyDescent="0.25">
      <c r="A7" s="217" t="s">
        <v>394</v>
      </c>
      <c r="B7" s="217">
        <v>2400</v>
      </c>
      <c r="C7">
        <v>1450</v>
      </c>
      <c r="D7"/>
      <c r="E7"/>
      <c r="F7">
        <v>600</v>
      </c>
      <c r="G7" s="216">
        <v>4450</v>
      </c>
    </row>
    <row r="8" spans="1:7" ht="15" x14ac:dyDescent="0.25">
      <c r="A8" s="217" t="s">
        <v>396</v>
      </c>
      <c r="B8" s="217">
        <v>1900</v>
      </c>
      <c r="C8"/>
      <c r="D8"/>
      <c r="E8"/>
      <c r="F8"/>
      <c r="G8" s="216">
        <v>1900</v>
      </c>
    </row>
    <row r="9" spans="1:7" ht="15" x14ac:dyDescent="0.25">
      <c r="A9" s="215" t="s">
        <v>403</v>
      </c>
      <c r="B9" s="215">
        <v>5200</v>
      </c>
      <c r="C9" s="214">
        <v>1900</v>
      </c>
      <c r="D9" s="214">
        <v>900</v>
      </c>
      <c r="E9" s="214">
        <v>4800</v>
      </c>
      <c r="F9" s="214">
        <v>5600</v>
      </c>
      <c r="G9" s="213">
        <v>18400</v>
      </c>
    </row>
    <row r="10" spans="1:7" ht="15" x14ac:dyDescent="0.25">
      <c r="A10"/>
      <c r="B10"/>
      <c r="C10"/>
    </row>
    <row r="11" spans="1:7" ht="15" x14ac:dyDescent="0.25">
      <c r="A11"/>
      <c r="B11"/>
      <c r="C11"/>
    </row>
    <row r="12" spans="1:7" ht="15" x14ac:dyDescent="0.25">
      <c r="A12"/>
      <c r="B12"/>
      <c r="C12"/>
    </row>
    <row r="13" spans="1:7" ht="15" x14ac:dyDescent="0.25">
      <c r="A13"/>
      <c r="B13"/>
      <c r="C13"/>
    </row>
    <row r="14" spans="1:7" ht="15" x14ac:dyDescent="0.25">
      <c r="A14"/>
      <c r="B14"/>
      <c r="C14"/>
    </row>
    <row r="15" spans="1:7" ht="15" x14ac:dyDescent="0.25">
      <c r="A15"/>
      <c r="B15"/>
      <c r="C15"/>
    </row>
    <row r="16" spans="1:7" ht="15" x14ac:dyDescent="0.25">
      <c r="A16"/>
      <c r="B16"/>
      <c r="C16"/>
    </row>
    <row r="17" spans="1:3" ht="15" x14ac:dyDescent="0.25">
      <c r="A17"/>
      <c r="B17"/>
      <c r="C17"/>
    </row>
    <row r="18" spans="1:3" ht="15" x14ac:dyDescent="0.25">
      <c r="A18"/>
      <c r="B18"/>
      <c r="C18"/>
    </row>
    <row r="19" spans="1:3" ht="15" x14ac:dyDescent="0.25">
      <c r="A19"/>
      <c r="B19"/>
      <c r="C19"/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3D8CA18E946649AFB94AF43D4EE4D3" ma:contentTypeVersion="2" ma:contentTypeDescription="Create a new document." ma:contentTypeScope="" ma:versionID="702dc9cf444c1af904c7234527dd6f60">
  <xsd:schema xmlns:xsd="http://www.w3.org/2001/XMLSchema" xmlns:xs="http://www.w3.org/2001/XMLSchema" xmlns:p="http://schemas.microsoft.com/office/2006/metadata/properties" xmlns:ns2="c2aa589f-bb7d-4d1b-8153-a79b0c28ea8a" targetNamespace="http://schemas.microsoft.com/office/2006/metadata/properties" ma:root="true" ma:fieldsID="2956e9dc46a9d4c048f0060a11bfd5a4" ns2:_="">
    <xsd:import namespace="c2aa589f-bb7d-4d1b-8153-a79b0c28ea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aa589f-bb7d-4d1b-8153-a79b0c28ea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70C6F21-2B20-4576-912E-F05A95E2A4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aa589f-bb7d-4d1b-8153-a79b0c28ea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8AC598-D3A0-4FFF-B92D-76F20861460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E9FAAFA-EF09-49B2-8C2B-092F2FDBCAB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50</vt:i4>
      </vt:variant>
    </vt:vector>
  </HeadingPairs>
  <TitlesOfParts>
    <vt:vector size="50" baseType="lpstr">
      <vt:lpstr>Basic Calculations</vt:lpstr>
      <vt:lpstr>Basic Absolute References</vt:lpstr>
      <vt:lpstr>Data Filtering and Sorting</vt:lpstr>
      <vt:lpstr>Charts 1</vt:lpstr>
      <vt:lpstr>Charts 2</vt:lpstr>
      <vt:lpstr>If Statement</vt:lpstr>
      <vt:lpstr>Round</vt:lpstr>
      <vt:lpstr>RoundUp</vt:lpstr>
      <vt:lpstr>RoundDown</vt:lpstr>
      <vt:lpstr>SumIf</vt:lpstr>
      <vt:lpstr>Count</vt:lpstr>
      <vt:lpstr>CountA</vt:lpstr>
      <vt:lpstr>CountBlank</vt:lpstr>
      <vt:lpstr>CountIf</vt:lpstr>
      <vt:lpstr>Left</vt:lpstr>
      <vt:lpstr>Right</vt:lpstr>
      <vt:lpstr>Mid</vt:lpstr>
      <vt:lpstr>Trim</vt:lpstr>
      <vt:lpstr>Concatenate</vt:lpstr>
      <vt:lpstr>VLookup</vt:lpstr>
      <vt:lpstr>VLookup COMPLETE</vt:lpstr>
      <vt:lpstr>VLookup2</vt:lpstr>
      <vt:lpstr>VLookup2 COMPLETE</vt:lpstr>
      <vt:lpstr>HLookup</vt:lpstr>
      <vt:lpstr>Today</vt:lpstr>
      <vt:lpstr>Now</vt:lpstr>
      <vt:lpstr>Day</vt:lpstr>
      <vt:lpstr>Month</vt:lpstr>
      <vt:lpstr>Year</vt:lpstr>
      <vt:lpstr>Absolute References</vt:lpstr>
      <vt:lpstr>Nested Function</vt:lpstr>
      <vt:lpstr>Mockaroo</vt:lpstr>
      <vt:lpstr>Combined Charts</vt:lpstr>
      <vt:lpstr>Secondary Axis</vt:lpstr>
      <vt:lpstr>Changing Chart Types</vt:lpstr>
      <vt:lpstr>Moving Chart Titles</vt:lpstr>
      <vt:lpstr>Moving Chart Legends</vt:lpstr>
      <vt:lpstr>Moving Data Labels</vt:lpstr>
      <vt:lpstr>Chart Axis Scale</vt:lpstr>
      <vt:lpstr>Chart Axis Units</vt:lpstr>
      <vt:lpstr>Images In Column Chart</vt:lpstr>
      <vt:lpstr>Images in Bar Chart</vt:lpstr>
      <vt:lpstr>Chart Plot Area Images</vt:lpstr>
      <vt:lpstr>Chart Area Images</vt:lpstr>
      <vt:lpstr>Data Validation</vt:lpstr>
      <vt:lpstr>Sheet1</vt:lpstr>
      <vt:lpstr>Sheet2</vt:lpstr>
      <vt:lpstr>Pivot Table Data</vt:lpstr>
      <vt:lpstr>Pivot Data 1 </vt:lpstr>
      <vt:lpstr>Pivot 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Mark Vella</dc:creator>
  <cp:keywords/>
  <dc:description/>
  <cp:lastModifiedBy>Kimberly Parascandalo</cp:lastModifiedBy>
  <cp:revision/>
  <dcterms:created xsi:type="dcterms:W3CDTF">2015-06-05T18:17:20Z</dcterms:created>
  <dcterms:modified xsi:type="dcterms:W3CDTF">2022-01-21T13:21:31Z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0x010100E33D8CA18E946649AFB94AF43D4EE4D3</vt:lpwstr>
  </property>
</Properties>
</file>